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lenquanhone/SapkotaLab/StomatalPhenotypingPipeline/deliverables/"/>
    </mc:Choice>
  </mc:AlternateContent>
  <xr:revisionPtr revIDLastSave="0" documentId="13_ncr:1_{12825689-30EE-1242-928A-07C4B29A1BC5}" xr6:coauthVersionLast="47" xr6:coauthVersionMax="47" xr10:uidLastSave="{00000000-0000-0000-0000-000000000000}"/>
  <bookViews>
    <workbookView xWindow="0" yWindow="800" windowWidth="34200" windowHeight="19900" xr2:uid="{00000000-000D-0000-FFFF-FFFF00000000}"/>
  </bookViews>
  <sheets>
    <sheet name="Dashboard" sheetId="1" r:id="rId1"/>
    <sheet name="Integrated Plants" sheetId="2" r:id="rId2"/>
    <sheet name="Stomatal Measurements" sheetId="3" r:id="rId3"/>
    <sheet name="Variety Comparison" sheetId="4" r:id="rId4"/>
    <sheet name="Treatment Comparison" sheetId="5" r:id="rId5"/>
    <sheet name="Thermal Findings &amp; Q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W95" i="6"/>
  <c r="V95" i="6"/>
  <c r="U95" i="6"/>
  <c r="W94" i="6"/>
  <c r="V94" i="6"/>
  <c r="U94" i="6"/>
  <c r="W93" i="6"/>
  <c r="V93" i="6"/>
  <c r="U93" i="6"/>
  <c r="W92" i="6"/>
  <c r="V92" i="6"/>
  <c r="U92" i="6"/>
  <c r="W91" i="6"/>
  <c r="V91" i="6"/>
  <c r="U91" i="6"/>
  <c r="W90" i="6"/>
  <c r="V90" i="6"/>
  <c r="U90" i="6"/>
  <c r="W89" i="6"/>
  <c r="V89" i="6"/>
  <c r="U89" i="6"/>
  <c r="W88" i="6"/>
  <c r="V88" i="6"/>
  <c r="U88" i="6"/>
  <c r="W87" i="6"/>
  <c r="V87" i="6"/>
  <c r="U87" i="6"/>
  <c r="W86" i="6"/>
  <c r="V86" i="6"/>
  <c r="U86" i="6"/>
  <c r="W85" i="6"/>
  <c r="V85" i="6"/>
  <c r="U85" i="6"/>
  <c r="W84" i="6"/>
  <c r="V84" i="6"/>
  <c r="U84" i="6"/>
  <c r="W83" i="6"/>
  <c r="V83" i="6"/>
  <c r="U83" i="6"/>
  <c r="W82" i="6"/>
  <c r="V82" i="6"/>
  <c r="U82" i="6"/>
  <c r="W81" i="6"/>
  <c r="V81" i="6"/>
  <c r="U81" i="6"/>
  <c r="W80" i="6"/>
  <c r="V80" i="6"/>
  <c r="U80" i="6"/>
  <c r="B7" i="6"/>
  <c r="C22" i="5"/>
  <c r="B22" i="5"/>
  <c r="B13" i="1" s="1"/>
  <c r="D20" i="5"/>
  <c r="C19" i="5"/>
  <c r="C12" i="1" s="1"/>
  <c r="B19" i="5"/>
  <c r="D19" i="5" s="1"/>
  <c r="D12" i="1" s="1"/>
  <c r="C11" i="5"/>
  <c r="C11" i="1" s="1"/>
  <c r="B11" i="5"/>
  <c r="B11" i="1" s="1"/>
  <c r="B7" i="5"/>
  <c r="B5" i="5"/>
  <c r="G6" i="1" s="1"/>
  <c r="AF41" i="4"/>
  <c r="AE41" i="4"/>
  <c r="AD41" i="4"/>
  <c r="AF40" i="4"/>
  <c r="AE40" i="4"/>
  <c r="AD40" i="4"/>
  <c r="AF39" i="4"/>
  <c r="AE39" i="4"/>
  <c r="AD39" i="4"/>
  <c r="AF38" i="4"/>
  <c r="AE38" i="4"/>
  <c r="AD38" i="4"/>
  <c r="AF37" i="4"/>
  <c r="AE37" i="4"/>
  <c r="AD37" i="4"/>
  <c r="AF36" i="4"/>
  <c r="AE36" i="4"/>
  <c r="AD36" i="4"/>
  <c r="AF35" i="4"/>
  <c r="AE35" i="4"/>
  <c r="AD35" i="4"/>
  <c r="AF34" i="4"/>
  <c r="AE34" i="4"/>
  <c r="AF33" i="4"/>
  <c r="AE33" i="4"/>
  <c r="AF32" i="4"/>
  <c r="AE32" i="4"/>
  <c r="AD32" i="4"/>
  <c r="AF31" i="4"/>
  <c r="AE31" i="4"/>
  <c r="AD31" i="4"/>
  <c r="AF30" i="4"/>
  <c r="AE30" i="4"/>
  <c r="AD30" i="4"/>
  <c r="AF29" i="4"/>
  <c r="AE29" i="4"/>
  <c r="AD29" i="4"/>
  <c r="AF28" i="4"/>
  <c r="AE28" i="4"/>
  <c r="AD28" i="4"/>
  <c r="AF27" i="4"/>
  <c r="AE27" i="4"/>
  <c r="AD27" i="4"/>
  <c r="AF26" i="4"/>
  <c r="AE26" i="4"/>
  <c r="AD26" i="4"/>
  <c r="Z20" i="4"/>
  <c r="AB20" i="4" s="1"/>
  <c r="Z19" i="4"/>
  <c r="AA19" i="4" s="1"/>
  <c r="Z18" i="4"/>
  <c r="AB18" i="4" s="1"/>
  <c r="Z17" i="4"/>
  <c r="AB17" i="4" s="1"/>
  <c r="Z16" i="4"/>
  <c r="AB16" i="4" s="1"/>
  <c r="Z15" i="4"/>
  <c r="AA15" i="4" s="1"/>
  <c r="Z14" i="4"/>
  <c r="AB14" i="4" s="1"/>
  <c r="Z13" i="4"/>
  <c r="AA13" i="4" s="1"/>
  <c r="Z12" i="4"/>
  <c r="AB12" i="4" s="1"/>
  <c r="Z11" i="4"/>
  <c r="AB11" i="4" s="1"/>
  <c r="Z10" i="4"/>
  <c r="AB10" i="4" s="1"/>
  <c r="Z9" i="4"/>
  <c r="AB9" i="4" s="1"/>
  <c r="Z8" i="4"/>
  <c r="AB8" i="4" s="1"/>
  <c r="Z7" i="4"/>
  <c r="AA7" i="4" s="1"/>
  <c r="Z6" i="4"/>
  <c r="AA6" i="4" s="1"/>
  <c r="Z5" i="4"/>
  <c r="AA5" i="4" s="1"/>
  <c r="C5" i="3"/>
  <c r="B5" i="3"/>
  <c r="A5" i="3"/>
  <c r="B7" i="2"/>
  <c r="B5" i="6" s="1"/>
  <c r="B6" i="2"/>
  <c r="D6" i="1" s="1"/>
  <c r="B5" i="2"/>
  <c r="B6" i="5" s="1"/>
  <c r="F25" i="1"/>
  <c r="C25" i="1"/>
  <c r="C13" i="1"/>
  <c r="AB5" i="4" l="1"/>
  <c r="AB13" i="4"/>
  <c r="C26" i="1"/>
  <c r="F26" i="1"/>
  <c r="B12" i="1"/>
  <c r="D22" i="5"/>
  <c r="D13" i="1" s="1"/>
  <c r="AA8" i="4"/>
  <c r="AA10" i="4"/>
  <c r="AB7" i="4"/>
  <c r="AA11" i="4"/>
  <c r="AB15" i="4"/>
  <c r="AB19" i="4"/>
  <c r="AA16" i="4"/>
  <c r="AA12" i="4"/>
  <c r="AA18" i="4"/>
  <c r="A6" i="1"/>
  <c r="B6" i="6"/>
  <c r="J6" i="1"/>
  <c r="AA14" i="4"/>
  <c r="AB6" i="4"/>
  <c r="D23" i="5" s="1"/>
  <c r="AA9" i="4"/>
  <c r="AA17" i="4"/>
  <c r="D11" i="5"/>
  <c r="AA20" i="4"/>
  <c r="B25" i="1"/>
  <c r="B26" i="1"/>
  <c r="D21" i="5" l="1"/>
  <c r="D11" i="1"/>
  <c r="B12" i="5"/>
</calcChain>
</file>

<file path=xl/sharedStrings.xml><?xml version="1.0" encoding="utf-8"?>
<sst xmlns="http://schemas.openxmlformats.org/spreadsheetml/2006/main" count="2207" uniqueCount="673">
  <si>
    <t>PLANT UNITS</t>
  </si>
  <si>
    <t>VARIETIES</t>
  </si>
  <si>
    <t>MANUAL STOMATA MASKS</t>
  </si>
  <si>
    <t>THERMAL MASKS PASSING QC</t>
  </si>
  <si>
    <t>PRIMARY FINDINGS</t>
  </si>
  <si>
    <t>Outcome</t>
  </si>
  <si>
    <t>Watered</t>
  </si>
  <si>
    <t>Drought-stressed</t>
  </si>
  <si>
    <t>Paired difference (D − W)</t>
  </si>
  <si>
    <t>Mean stomatal-complex area (px²)</t>
  </si>
  <si>
    <t>Stomatal-complex area was 6.9% lower under drought on average, but the paired effect was not statistically clear (95% CI crosses zero; p = 0.434). Canopy temperature likewise showed no overall treatment difference (all 16 pairs: D − W = −0.15 °C; p = 0.448). After excluding the two failed thermal masks, projected plant area was provisionally higher under drought by 2,374 px² across 14 complete QC pairs (p = 0.003); this finding requires mask, geometry, and physical-scale confirmation.</t>
  </si>
  <si>
    <t>Canopy mean temperature (°C, QC pass)</t>
  </si>
  <si>
    <t>Projected plant area (px², QC pass)</t>
  </si>
  <si>
    <t>EVIDENCE STRENGTH &amp; STUDY LIMITS</t>
  </si>
  <si>
    <t>Signal</t>
  </si>
  <si>
    <t>Status</t>
  </si>
  <si>
    <t>What can be concluded</t>
  </si>
  <si>
    <t>Stomatal-complex area</t>
  </si>
  <si>
    <t>No clear treatment effect</t>
  </si>
  <si>
    <t>16 paired varieties; plant-level test; 85 selected masks</t>
  </si>
  <si>
    <t>Canopy temperature</t>
  </si>
  <si>
    <t>No overall treatment effect</t>
  </si>
  <si>
    <t>All 16 pairs; two masks fail plant-area QC and may affect temperatures</t>
  </si>
  <si>
    <t>Projected plant area</t>
  </si>
  <si>
    <t>Provisional drought increase</t>
  </si>
  <si>
    <t>Treatment</t>
  </si>
  <si>
    <t>Mean canopy temperature (°C, QC pass)</t>
  </si>
  <si>
    <t>Integrated plant-level phenotype ledger</t>
  </si>
  <si>
    <t>Study summary</t>
  </si>
  <si>
    <t>Value</t>
  </si>
  <si>
    <t>Plant units</t>
  </si>
  <si>
    <t>Varieties</t>
  </si>
  <si>
    <t>Thermal masks passing QC</t>
  </si>
  <si>
    <t>study_id</t>
  </si>
  <si>
    <t>genotype_id</t>
  </si>
  <si>
    <t>plant_unit_id</t>
  </si>
  <si>
    <t>variety</t>
  </si>
  <si>
    <t>variety_class</t>
  </si>
  <si>
    <t>treatment_code</t>
  </si>
  <si>
    <t>water_status</t>
  </si>
  <si>
    <t>water_ml</t>
  </si>
  <si>
    <t>stomata_image</t>
  </si>
  <si>
    <t>stomata_photo_serial</t>
  </si>
  <si>
    <t>thermal_session_id</t>
  </si>
  <si>
    <t>thermal_session_plant_id</t>
  </si>
  <si>
    <t>thermal_source_file</t>
  </si>
  <si>
    <t>thermal_capture_time</t>
  </si>
  <si>
    <t>canopy_mean_c</t>
  </si>
  <si>
    <t>canopy_median_c</t>
  </si>
  <si>
    <t>canopy_min_c</t>
  </si>
  <si>
    <t>canopy_max_c</t>
  </si>
  <si>
    <t>canopy_std_c</t>
  </si>
  <si>
    <t>canopy_p10_c</t>
  </si>
  <si>
    <t>canopy_p90_c</t>
  </si>
  <si>
    <t>canopy_delta_t_air_c</t>
  </si>
  <si>
    <t>projected_plant_area_px2</t>
  </si>
  <si>
    <t>projected_plant_area_fraction</t>
  </si>
  <si>
    <t>thermal_mask_qc_passed</t>
  </si>
  <si>
    <t>thermal_mask_qc_flag</t>
  </si>
  <si>
    <t>stomata_candidates_total</t>
  </si>
  <si>
    <t>stomata_candidates_accepted</t>
  </si>
  <si>
    <t>stomata_candidates_review</t>
  </si>
  <si>
    <t>stomata_candidates_rejected</t>
  </si>
  <si>
    <t>stomata_expected_true_candidates</t>
  </si>
  <si>
    <t>expert_stomata_objects_total</t>
  </si>
  <si>
    <t>stomata_objects_measured</t>
  </si>
  <si>
    <t>stomata_measurement_coverage_fraction</t>
  </si>
  <si>
    <t>stomatal_complex_area_unit</t>
  </si>
  <si>
    <t>stomatal_complex_area_mean</t>
  </si>
  <si>
    <t>stomatal_complex_area_median</t>
  </si>
  <si>
    <t>stomatal_complex_area_sd</t>
  </si>
  <si>
    <t>stomatal_complex_area_q25</t>
  </si>
  <si>
    <t>stomatal_complex_area_q75</t>
  </si>
  <si>
    <t>tomato_2026_combined</t>
  </si>
  <si>
    <t>V01</t>
  </si>
  <si>
    <t>TOM26-V01-D</t>
  </si>
  <si>
    <t>NC264G</t>
  </si>
  <si>
    <t>breeding_line</t>
  </si>
  <si>
    <t>control</t>
  </si>
  <si>
    <t>drought_stressed</t>
  </si>
  <si>
    <t>IMG_3040.JPG</t>
  </si>
  <si>
    <t>S20260715</t>
  </si>
  <si>
    <t>P01</t>
  </si>
  <si>
    <t>S20260715_P01_NC264G_Control.JPG</t>
  </si>
  <si>
    <t>2026:07:15 13:59:23.679-04:00</t>
  </si>
  <si>
    <t>px2</t>
  </si>
  <si>
    <t>TOM26-V01-W</t>
  </si>
  <si>
    <t>regular</t>
  </si>
  <si>
    <t>watered</t>
  </si>
  <si>
    <t>IMG_3011.JPG</t>
  </si>
  <si>
    <t>P02</t>
  </si>
  <si>
    <t>S20260715_P02_NC264G_Regular.JPG</t>
  </si>
  <si>
    <t>2026:07:15 14:00:57.470-04:00</t>
  </si>
  <si>
    <t>auto_mask_selected_more_than_10_percent_of_frame</t>
  </si>
  <si>
    <t>V02</t>
  </si>
  <si>
    <t>TOM26-V02-D</t>
  </si>
  <si>
    <t>25203G</t>
  </si>
  <si>
    <t>IMG_3037.JPG</t>
  </si>
  <si>
    <t>P03</t>
  </si>
  <si>
    <t>S20260715_P03_25203G_Control.JPG</t>
  </si>
  <si>
    <t>2026:07:15 14:01:42.051-04:00</t>
  </si>
  <si>
    <t>TOM26-V02-W</t>
  </si>
  <si>
    <t>IMG_3012.JPG</t>
  </si>
  <si>
    <t>P04</t>
  </si>
  <si>
    <t>S20260715_P04_25203G_Regular.JPG</t>
  </si>
  <si>
    <t>2026:07:15 14:02:50.179-04:00</t>
  </si>
  <si>
    <t>V03</t>
  </si>
  <si>
    <t>TOM26-V03-D</t>
  </si>
  <si>
    <t>25317G</t>
  </si>
  <si>
    <t>IMG_3053.JPG</t>
  </si>
  <si>
    <t>P05</t>
  </si>
  <si>
    <t>S20260715_P05_25317G_Control.JPG</t>
  </si>
  <si>
    <t>2026:07:15 14:03:36.778-04:00</t>
  </si>
  <si>
    <t>TOM26-V03-W</t>
  </si>
  <si>
    <t>IMG_3013.JPG</t>
  </si>
  <si>
    <t>P06</t>
  </si>
  <si>
    <t>S20260715_P06_25317G_Regular.JPG</t>
  </si>
  <si>
    <t>2026:07:15 14:04:15.635-04:00</t>
  </si>
  <si>
    <t>V04</t>
  </si>
  <si>
    <t>TOM26-V04-D</t>
  </si>
  <si>
    <t>26-016</t>
  </si>
  <si>
    <t>IMG_3046.JPG</t>
  </si>
  <si>
    <t>P07</t>
  </si>
  <si>
    <t>S20260715_P07_26-016_Control.JPG</t>
  </si>
  <si>
    <t>2026:07:15 14:04:48.123-04:00</t>
  </si>
  <si>
    <t>TOM26-V04-W</t>
  </si>
  <si>
    <t>IMG_3014.JPG</t>
  </si>
  <si>
    <t>P08</t>
  </si>
  <si>
    <t>S20260715_P08_26-016_Regular.JPG</t>
  </si>
  <si>
    <t>2026:07:15 14:05:11.277-04:00</t>
  </si>
  <si>
    <t>V05</t>
  </si>
  <si>
    <t>TOM26-V05-D</t>
  </si>
  <si>
    <t>26-018</t>
  </si>
  <si>
    <t>IMG_3039.JPG</t>
  </si>
  <si>
    <t>P09</t>
  </si>
  <si>
    <t>S20260715_P09_26-018_Control.JPG</t>
  </si>
  <si>
    <t>2026:07:15 14:06:19.401-04:00</t>
  </si>
  <si>
    <t>TOM26-V05-W</t>
  </si>
  <si>
    <t>IMG_3015.JPG</t>
  </si>
  <si>
    <t>P10</t>
  </si>
  <si>
    <t>S20260715_P10_26-018_Regular.JPG</t>
  </si>
  <si>
    <t>2026:07:15 14:06:50.181-04:00</t>
  </si>
  <si>
    <t>V06</t>
  </si>
  <si>
    <t>TOM26-V06-D</t>
  </si>
  <si>
    <t>25-014</t>
  </si>
  <si>
    <t>IMG_3042.JPG</t>
  </si>
  <si>
    <t>P11</t>
  </si>
  <si>
    <t>S20260715_P11_25-014_Control.JPG</t>
  </si>
  <si>
    <t>2026:07:15 14:07:28.049-04:00</t>
  </si>
  <si>
    <t>TOM26-V06-W</t>
  </si>
  <si>
    <t>IMG_3016.JPG</t>
  </si>
  <si>
    <t>P12</t>
  </si>
  <si>
    <t>S20260715_P12_25-014_Regular.JPG</t>
  </si>
  <si>
    <t>2026:07:15 14:08:06.649-04:00</t>
  </si>
  <si>
    <t>V07</t>
  </si>
  <si>
    <t>TOM26-V07-D</t>
  </si>
  <si>
    <t>25-013</t>
  </si>
  <si>
    <t>IMG_3051.JPG</t>
  </si>
  <si>
    <t>P13</t>
  </si>
  <si>
    <t>S20260715_P13_25-013_Control.JPG</t>
  </si>
  <si>
    <t>2026:07:15 14:08:40.829-04:00</t>
  </si>
  <si>
    <t>TOM26-V07-W</t>
  </si>
  <si>
    <t>IMG_3017.JPG</t>
  </si>
  <si>
    <t>P14</t>
  </si>
  <si>
    <t>S20260715_P14_25-013_Regular.JPG</t>
  </si>
  <si>
    <t>2026:07:15 14:09:04.343-04:00</t>
  </si>
  <si>
    <t>V08</t>
  </si>
  <si>
    <t>TOM26-V08-D</t>
  </si>
  <si>
    <t>Cherokee Purple</t>
  </si>
  <si>
    <t>named_cultivar</t>
  </si>
  <si>
    <t>IMG_3032.JPG</t>
  </si>
  <si>
    <t>P15</t>
  </si>
  <si>
    <t>S20260715_P15_CherokeePurple_Control.JPG</t>
  </si>
  <si>
    <t>2026:07:15 14:09:46.847-04:00</t>
  </si>
  <si>
    <t>TOM26-V08-W</t>
  </si>
  <si>
    <t>IMG_3018.JPG</t>
  </si>
  <si>
    <t>P16</t>
  </si>
  <si>
    <t>S20260715_P16_CherokeePurple_Regular.JPG</t>
  </si>
  <si>
    <t>2026:07:15 14:10:18.400-04:00</t>
  </si>
  <si>
    <t>V09</t>
  </si>
  <si>
    <t>TOM26-V09-D</t>
  </si>
  <si>
    <t>25-12</t>
  </si>
  <si>
    <t>IMG_3044.JPG</t>
  </si>
  <si>
    <t>P17</t>
  </si>
  <si>
    <t>S20260715_P17_25-12_Control.JPG</t>
  </si>
  <si>
    <t>2026:07:15 14:10:51.019-04:00</t>
  </si>
  <si>
    <t>TOM26-V09-W</t>
  </si>
  <si>
    <t>IMG_3019.JPG</t>
  </si>
  <si>
    <t>P18</t>
  </si>
  <si>
    <t>S20260715_P18_25-12_Regular.JPG</t>
  </si>
  <si>
    <t>2026:07:15 14:12:06.438-04:00</t>
  </si>
  <si>
    <t>V10</t>
  </si>
  <si>
    <t>TOM26-V10-D</t>
  </si>
  <si>
    <t>Mountain Gem</t>
  </si>
  <si>
    <t>IMG_3031.JPG</t>
  </si>
  <si>
    <t>P19</t>
  </si>
  <si>
    <t>S20260715_P19_MountainGem_Control.JPG</t>
  </si>
  <si>
    <t>2026:07:15 14:13:00.022-04:00</t>
  </si>
  <si>
    <t>TOM26-V10-W</t>
  </si>
  <si>
    <t>IMG_3020.JPG</t>
  </si>
  <si>
    <t>P20</t>
  </si>
  <si>
    <t>S20260715_P20_MountainGem_Regular.JPG</t>
  </si>
  <si>
    <t>2026:07:15 14:13:30.660-04:00</t>
  </si>
  <si>
    <t>V11</t>
  </si>
  <si>
    <t>TOM26-V11-D</t>
  </si>
  <si>
    <t>26-037</t>
  </si>
  <si>
    <t>IMG_3050.JPG</t>
  </si>
  <si>
    <t>P21</t>
  </si>
  <si>
    <t>S20260715_P21_26-037_Control.JPG</t>
  </si>
  <si>
    <t>2026:07:15 14:14:20.755-04:00</t>
  </si>
  <si>
    <t>TOM26-V11-W</t>
  </si>
  <si>
    <t>IMG_3021.JPG</t>
  </si>
  <si>
    <t>P22</t>
  </si>
  <si>
    <t>S20260715_P22_26-037_Regular.JPG</t>
  </si>
  <si>
    <t>2026:07:15 14:14:55.455-04:00</t>
  </si>
  <si>
    <t>V12</t>
  </si>
  <si>
    <t>TOM26-V12-D</t>
  </si>
  <si>
    <t>26-033</t>
  </si>
  <si>
    <t>IMG_3034.JPG</t>
  </si>
  <si>
    <t>P23</t>
  </si>
  <si>
    <t>S20260715_P23_26-033_Control.JPG</t>
  </si>
  <si>
    <t>2026:07:15 14:15:33.287-04:00</t>
  </si>
  <si>
    <t>TOM26-V12-W</t>
  </si>
  <si>
    <t>IMG_3023.JPG</t>
  </si>
  <si>
    <t>P24</t>
  </si>
  <si>
    <t>S20260715_P24_26-033_Regular.JPG</t>
  </si>
  <si>
    <t>2026:07:15 14:16:09.286-04:00</t>
  </si>
  <si>
    <t>V13</t>
  </si>
  <si>
    <t>TOM26-V13-D</t>
  </si>
  <si>
    <t>Mountain Girl</t>
  </si>
  <si>
    <t>IMG_3047.JPG</t>
  </si>
  <si>
    <t>P25</t>
  </si>
  <si>
    <t>S20260715_P25_MountainGirl_Control.JPG</t>
  </si>
  <si>
    <t>2026:07:15 14:16:51.799-04:00</t>
  </si>
  <si>
    <t>TOM26-V13-W</t>
  </si>
  <si>
    <t>IMG_3024.JPG</t>
  </si>
  <si>
    <t>P26</t>
  </si>
  <si>
    <t>S20260715_P26_MountainGirl_Regular.JPG</t>
  </si>
  <si>
    <t>2026:07:15 14:17:23.487-04:00</t>
  </si>
  <si>
    <t>V14</t>
  </si>
  <si>
    <t>TOM26-V14-D</t>
  </si>
  <si>
    <t>Ailsa Craig</t>
  </si>
  <si>
    <t>unknown</t>
  </si>
  <si>
    <t>IMG_3054.JPG</t>
  </si>
  <si>
    <t>P27</t>
  </si>
  <si>
    <t>S20260715_P27_AlisaCraig_Control.JPG</t>
  </si>
  <si>
    <t>2026:07:15 14:17:58.518-04:00</t>
  </si>
  <si>
    <t>TOM26-V14-W</t>
  </si>
  <si>
    <t>IMG_3026.JPG</t>
  </si>
  <si>
    <t>P28</t>
  </si>
  <si>
    <t>S20260715_P28_AlisaCraig_Regular.JPG</t>
  </si>
  <si>
    <t>2026:07:15 14:18:30.076-04:00</t>
  </si>
  <si>
    <t>V15</t>
  </si>
  <si>
    <t>TOM26-V15-D</t>
  </si>
  <si>
    <t>NC261G</t>
  </si>
  <si>
    <t>IMG_3043.JPG</t>
  </si>
  <si>
    <t>P29</t>
  </si>
  <si>
    <t>S20260715_P29_NC261G_Control.JPG</t>
  </si>
  <si>
    <t>2026:07:15 14:19:18.272-04:00</t>
  </si>
  <si>
    <t>TOM26-V15-W</t>
  </si>
  <si>
    <t>IMG_3027.JPG</t>
  </si>
  <si>
    <t>P30</t>
  </si>
  <si>
    <t>S20260715_P30_NC261G_Regular.JPG</t>
  </si>
  <si>
    <t>2026:07:15 14:20:01.564-04:00</t>
  </si>
  <si>
    <t>V16</t>
  </si>
  <si>
    <t>TOM26-V16-D</t>
  </si>
  <si>
    <t>Mountain Heritage</t>
  </si>
  <si>
    <t>IMG_3055.JPG</t>
  </si>
  <si>
    <t>P31</t>
  </si>
  <si>
    <t>S20260715_P31_MountainHeritage_Control.JPG</t>
  </si>
  <si>
    <t>2026:07:15 14:21:19.554-04:00</t>
  </si>
  <si>
    <t>TOM26-V16-W</t>
  </si>
  <si>
    <t>IMG_3028.JPG</t>
  </si>
  <si>
    <t>P32</t>
  </si>
  <si>
    <t>S20260715_P32_MountainHeritage_Regular.JPG</t>
  </si>
  <si>
    <t>2026:07:15 14:20:32.888-04:00</t>
  </si>
  <si>
    <t>Per-stomata measurement ledger</t>
  </si>
  <si>
    <t>Objects</t>
  </si>
  <si>
    <t>Plants</t>
  </si>
  <si>
    <t>Watered objects</t>
  </si>
  <si>
    <t>Drought-stressed objects</t>
  </si>
  <si>
    <t>Selection</t>
  </si>
  <si>
    <t>Top local image quality</t>
  </si>
  <si>
    <t>Accepted + measurement QC passed</t>
  </si>
  <si>
    <t>object_id</t>
  </si>
  <si>
    <t>filename</t>
  </si>
  <si>
    <t>quality_rank_among_all_expert_boxes</t>
  </si>
  <si>
    <t>selected_rank_among_completed_masks</t>
  </si>
  <si>
    <t>local_quality_score</t>
  </si>
  <si>
    <t>local_focus_score</t>
  </si>
  <si>
    <t>local_contrast_5_95</t>
  </si>
  <si>
    <t>local_clipped_fraction</t>
  </si>
  <si>
    <t>edge_margin_px</t>
  </si>
  <si>
    <t>complex_length_px</t>
  </si>
  <si>
    <t>complex_width_px</t>
  </si>
  <si>
    <t>complex_area_px2</t>
  </si>
  <si>
    <t>complex_perimeter_px</t>
  </si>
  <si>
    <t>complex_aspect_ratio</t>
  </si>
  <si>
    <t>complex_eccentricity</t>
  </si>
  <si>
    <t>complex_solidity</t>
  </si>
  <si>
    <t>orientation_deg</t>
  </si>
  <si>
    <t>complex_convex_area_px2</t>
  </si>
  <si>
    <t>complex_equivalent_diameter_px</t>
  </si>
  <si>
    <t>complex_circularity</t>
  </si>
  <si>
    <t>complex_centroid_x_px</t>
  </si>
  <si>
    <t>complex_centroid_y_px</t>
  </si>
  <si>
    <t>area_unit</t>
  </si>
  <si>
    <t>length_unit</t>
  </si>
  <si>
    <t>decision_status</t>
  </si>
  <si>
    <t>measurement_quality_passed</t>
  </si>
  <si>
    <t>polygon_json</t>
  </si>
  <si>
    <t>IMG_3011:0012</t>
  </si>
  <si>
    <t>px</t>
  </si>
  <si>
    <t>accepted</t>
  </si>
  <si>
    <t>[[3172.96,1637.78],[3178.65,1627.11],[3194.31,1624.97],[3209.97,1627.11],[3220.3,1637.78],[3225.28,1649.89],[3228.48,1661.99],[3217.45,1688.33],[3203.21,1696.16],[3181.14,1690.46],[3172.96,1680.5]]</t>
  </si>
  <si>
    <t>IMG_3011:0017</t>
  </si>
  <si>
    <t>[[3106.62,1966.94],[3121.46,1962.98],[3129.38,1966.45],[3139.28,1961.5],[3152.14,1961.99],[3166.99,1971.89],[3183.81,1983.27],[3199.15,1997.12],[3213.99,2013.95],[3211.52,2031.76],[3201.13,2047.1],[3195.68,2054.52],[3175.89,2045.12],[3175.89,2052.54],[3169.95,2061.45],[3147.69,2052.05],[3111.07,2034.73],[3102.66,2020.87],[3094.74,2006.03],[3096.23,1982.77]]</t>
  </si>
  <si>
    <t>IMG_3012:0005</t>
  </si>
  <si>
    <t>[[2250.53,3616.56],[2278.52,3623.02],[2311.53,3647.42],[2331.62,3676.84],[2332.34,3701.95],[2334.49,3720.61],[2337.36,3735.68],[2326.59,3748.59],[2316.55,3742.13],[2307.22,3743.57],[2297.89,3749.31],[2295.02,3762.22],[2298.61,3778.01],[2286.41,3775.86],[2261.3,3757.2],[2236.9,3737.83],[2226.14,3717.02],[2213.94,3691.9],[2214.66,3668.94],[2220.4,3639.52],[2230.44,3621.59]]</t>
  </si>
  <si>
    <t>IMG_3012:0028</t>
  </si>
  <si>
    <t>[[3326.59,2605.1],[3356.7,2587.33],[3385.32,2577.46],[3398.15,2577.46],[3413.94,2586.35],[3421.84,2594.24],[3433.19,2628.29],[3409.01,2656.42],[3367.55,2681.1],[3335.48,2679.12],[3314.75,2667.77],[3311.79,2641.12],[3314.75,2626.32]]</t>
  </si>
  <si>
    <t>IMG_3012:0041</t>
  </si>
  <si>
    <t>[[530.77,5228.43],[512.26,5263.28],[518.79,5297.04],[531.32,5305.75],[535.13,5311.74],[533.5,5322.09],[529.69,5328.63],[533.5,5336.79],[565.08,5370.56],[588.5,5381.45],[599.39,5378.72],[615.72,5377.09],[632.6,5366.2],[644.58,5352.04],[663.64,5332.44],[663.1,5306.84],[652.75,5274.72],[627.16,5240.95],[597.21,5221.9],[569.44,5213.18],[550.38,5216.99]]</t>
  </si>
  <si>
    <t>IMG_3013:0006</t>
  </si>
  <si>
    <t>[[271.97,1003.29],[315.99,949.68],[344.21,939.52],[357.19,951.93],[382.59,960.96],[383.15,988.62],[370.17,1030.39],[345.9,1043.37],[320.5,1051.83],[295.11,1047.88],[276.48,1035.47],[265.76,1023.05]]</t>
  </si>
  <si>
    <t>IMG_3013:0007</t>
  </si>
  <si>
    <t>[[387.14,292.83],[402.84,257.78],[422.72,235.27],[455.16,224.29],[495.45,214.87],[509.06,213.3],[535.22,231.09],[532.08,282.89],[504.35,324.23],[459.87,345.68],[425.34,350.92],[411.21,350.92],[393.42,326.85]]</t>
  </si>
  <si>
    <t>IMG_3013:0004</t>
  </si>
  <si>
    <t>[[2980.4,2638.37],[2963.64,2660.86],[2967.61,2678.5],[2978.64,2695.26],[2998.93,2701.88],[3037.74,2700.11],[3070.37,2687.76],[3084.93,2666.59],[3077.43,2642.34],[3080.07,2631.75],[3066.84,2613.23]]</t>
  </si>
  <si>
    <t>IMG_3014:0023</t>
  </si>
  <si>
    <t>[[2886.5,3536.21],[2902.27,3513.43],[2913.37,3510.51],[2932.07,3520.44],[2958.94,3534.46],[2989.91,3568.93],[2994.58,3591.13],[2975.3,3613.92],[2953.68,3618.59],[2925.64,3603.99],[2897.01,3578.28]]</t>
  </si>
  <si>
    <t>IMG_3014:0018</t>
  </si>
  <si>
    <t>[[1095.62,3207.15],[1130.28,3177.99],[1171.55,3168.64],[1214.46,3173.04],[1241.43,3182.39],[1252.43,3209.35],[1250.78,3228.61],[1237.02,3252.82],[1197.96,3285.83],[1170.45,3305.09],[1147.34,3300.69],[1120.38,3291.88],[1100.57,3285.28],[1079.11,3268.22],[1077.46,3248.42],[1079.11,3230.81],[1084.06,3220.36]]</t>
  </si>
  <si>
    <t>IMG_3015:0003</t>
  </si>
  <si>
    <t>[[1448.65,4355.1],[1441.21,4373.71],[1438.23,4403.49],[1444.93,4425.82],[1447.91,4441.46],[1453.86,4465.28],[1472.48,4483.9],[1497.79,4496.55],[1524.59,4504.74],[1543.2,4496.55],[1549.9,4480.17],[1558.84,4466.77],[1562.56,4457.09],[1556.6,4442.95],[1547.67,4431.04],[1540.97,4416.89],[1544.69,4408.7],[1537.99,4393.81],[1521.61,4378.18],[1511.19,4366.27],[1486.62,4355.1],[1475.45,4349.89],[1463.54,4351.38]]</t>
  </si>
  <si>
    <t>IMG_3015:0007</t>
  </si>
  <si>
    <t>[[1006.82,5799.77],[1007.41,5775.64],[1022.12,5748.57],[1040.96,5740.33],[1074.5,5748.57],[1095.69,5757.4],[1110.4,5764.46],[1126.29,5779.17],[1142.77,5805.65],[1145.12,5829.19],[1120.4,5844.5],[1098.63,5849.2],[1041.54,5833.31],[1016.24,5819.78]]</t>
  </si>
  <si>
    <t>IMG_3016:0053</t>
  </si>
  <si>
    <t>[[4221.13,2852.63],[4247.03,2841.45],[4279.98,2837.33],[4298.23,2837.92],[4308.82,2835.56],[4317.65,2853.22],[4329.42,2862.05],[4346.48,2867.34],[4356.49,2878.53],[4351.78,2896.18],[4345.31,2913.25],[4334.71,2928.55],[4321.18,2935.02],[4305.29,2932.67],[4289.4,2928.55],[4265.27,2923.25],[4247.61,2913.25],[4234.67,2896.18],[4223.49,2883.82]]</t>
  </si>
  <si>
    <t>IMG_3016:0060</t>
  </si>
  <si>
    <t>[[1527.72,2791.07],[1537.66,2768.58],[1579.62,2746.09],[1610.76,2743.92],[1633.68,2747.38],[1651.41,2759.06],[1668.28,2770.74],[1684.28,2787.61],[1676.93,2793.66],[1663.52,2782.42],[1670.88,2797.99],[1670.88,2813.56],[1670.44,2825.24],[1665.25,2835.18],[1634.55,2839.94],[1609.46,2841.67],[1593.46,2839.94],[1582.64,2838.64]]</t>
  </si>
  <si>
    <t>IMG_3016:0004</t>
  </si>
  <si>
    <t>[[2213.27,910.94],[2239.17,867.16],[2254.7,854.44],[2273.54,853.97],[2285.78,860.09],[2296.61,871.86],[2306.02,886.93],[2304.14,904.82],[2291.43,928.36],[2281.54,947.19],[2260.35,958.96],[2247.17,967.44],[2231.64,966.5],[2213.74,958.96],[2205.27,938.72],[2207.15,921.3]]</t>
  </si>
  <si>
    <t>IMG_3017:0012</t>
  </si>
  <si>
    <t>[[3602.27,2001.2],[3622.15,1983.63],[3644.34,1966.06],[3671.15,1949.42],[3688.72,1945.72],[3708.6,1946.65],[3719.23,1954.04],[3723.39,1969.76],[3725.24,1983.17],[3726.63,1998.88],[3727.09,2008.13],[3708.6,2019.23],[3682.71,2036.33],[3652.2,2048.81],[3637.4,2054.36],[3626.31,2058.98],[3617.52,2062.22],[3609.2,2058.98],[3604.58,2044.19],[3602.73,2024.77]]</t>
  </si>
  <si>
    <t>IMG_3017:0027</t>
  </si>
  <si>
    <t>[[5131.9,2013.21],[5156.29,1992.79],[5178.42,1986.27],[5206.21,1987.12],[5219.54,1989.39],[5233.44,1998.46],[5242.51,2010.94],[5243.36,2029.95],[5231.17,2040.16],[5208.2,2031.65],[5184.09,2030.23],[5165.37,2037.6],[5138.14,2032.5],[5128.78,2021.44]]</t>
  </si>
  <si>
    <t>IMG_3017:0006</t>
  </si>
  <si>
    <t>[[175.23,462.66],[168.78,476.03],[176.61,501.84],[187.21,526.72],[206.57,535.94],[219.94,541.47],[236.53,537.32],[251.27,525.8],[254.96,509.21],[250.81,491.7],[248.51,477.87],[241.14,462.2],[227.77,450.68],[213.94,446.99],[198.73,445.15],[181.22,444.23]]</t>
  </si>
  <si>
    <t>IMG_3018:0037</t>
  </si>
  <si>
    <t>[[4060.32,1599.53],[4078.72,1584.8],[4098.97,1576.52],[4121.98,1578.36],[4147.75,1586.64],[4169.84,1597.69],[4191.0,1619.78],[4203.89,1649.23],[4204.81,1680.52],[4190.08,1709.05],[4164.31,1721.93],[4138.54,1720.09],[4112.77,1712.73],[4075.04,1693.4],[4052.03,1650.15],[4049.27,1624.38],[4051.11,1607.81]]</t>
  </si>
  <si>
    <t>IMG_3018:0039</t>
  </si>
  <si>
    <t>[[3165.32,3433.16],[3202.61,3388.27],[3262.0,3368.94],[3291.7,3368.94],[3321.39,3388.96],[3327.61,3418.66],[3313.8,3461.48],[3224.71,3509.13],[3168.08,3487.03],[3161.17,3467.69]]</t>
  </si>
  <si>
    <t>IMG_3018:0038</t>
  </si>
  <si>
    <t>[[3005.01,3697.71],[3105.07,3692.85],[3156.49,3735.23],[3168.3,3806.11],[3133.56,3807.5],[3080.75,3788.74],[3061.29,3766.5],[3046.7,3761.64]]</t>
  </si>
  <si>
    <t>IMG_3019:0016</t>
  </si>
  <si>
    <t>[[1892.16,3081.29],[1913.25,3046.65],[1915.5,3002.23],[1888.4,2975.12],[1856.77,2949.52],[1811.59,2929.19],[1797.28,2928.43],[1794.27,2943.49],[1785.99,2951.78],[1779.97,2966.08],[1785.99,2985.66],[1808.58,3022.56],[1838.7,3051.93],[1859.78,3069.24],[1880.87,3080.54]]</t>
  </si>
  <si>
    <t>IMG_3019:0025</t>
  </si>
  <si>
    <t>[[3065.56,4230.61],[3086.68,4172.92],[3090.75,4137.98],[3106.19,4126.6],[3141.94,4138.79],[3176.07,4191.61],[3186.63,4266.36],[3170.38,4319.18],[3146.81,4336.24],[3080.18,4279.36]]</t>
  </si>
  <si>
    <t>IMG_3019:0023</t>
  </si>
  <si>
    <t>[[2709.69,4596.52],[2687.27,4610.26],[2671.36,4650.03],[2672.8,4702.11],[2687.27,4722.36],[2722.71,4718.74],[2755.97,4705.0],[2776.95,4683.3],[2774.05,4666.67],[2783.46,4654.37],[2774.78,4605.19],[2758.14,4588.56]]</t>
  </si>
  <si>
    <t>IMG_3020:0025</t>
  </si>
  <si>
    <t>[[2770.27,4133.44],[2787.23,4103.44],[2824.41,4094.96],[2860.29,4100.17],[2882.47,4113.22],[2904.0,4139.31],[2903.34,4175.19],[2881.82,4203.89],[2838.11,4222.16],[2803.54,4212.37],[2781.36,4195.41],[2766.36,4173.23]]</t>
  </si>
  <si>
    <t>IMG_3020:0013</t>
  </si>
  <si>
    <t>[[2404.87,1235.65],[2396.76,1241.33],[2395.14,1254.3],[2403.25,1274.58],[2412.58,1287.97],[2430.83,1299.73],[2469.76,1295.27],[2487.2,1285.53],[2493.28,1279.04],[2486.8,1270.12],[2476.66,1270.53],[2475.44,1247.82],[2508.7,1231.19],[2495.72,1216.99],[2463.68,1209.29],[2449.08,1211.31]]</t>
  </si>
  <si>
    <t>IMG_3021:0002</t>
  </si>
  <si>
    <t>[[897.02,3714.69],[925.07,3701.64],[947.8,3697.29],[974.39,3697.77],[985.51,3705.99],[1001.47,3725.82],[1004.86,3734.04],[1007.76,3743.71],[999.54,3771.27],[990.35,3788.68],[987.93,3797.38],[974.39,3799.8],[956.5,3797.38],[925.55,3780.46],[916.85,3768.85],[907.18,3756.76],[897.02,3738.87],[892.67,3724.85]]</t>
  </si>
  <si>
    <t>IMG_3021:0006</t>
  </si>
  <si>
    <t>[[1475.3,4627.91],[1459.43,4658.22],[1475.3,4701.53],[1492.63,4733.29],[1516.45,4752.78],[1543.15,4752.06],[1561.2,4741.95],[1572.03,4712.36],[1574.91,4683.48],[1573.47,4657.5],[1557.59,4639.46],[1542.43,4622.85],[1514.28,4606.25],[1491.18,4613.47]]</t>
  </si>
  <si>
    <t>IMG_3023:0050</t>
  </si>
  <si>
    <t>[[2455.8,2835.33],[2462.83,2800.78],[2453.45,2762.71],[2439.98,2754.51],[2398.4,2763.88],[2397.82,2785.55],[2396.65,2813.66],[2424.17,2825.38]]</t>
  </si>
  <si>
    <t>IMG_3023:0052</t>
  </si>
  <si>
    <t>[[1373.51,5728.64],[1383.04,5653.04],[1397.02,5637.16],[1426.24,5639.7],[1458.01,5663.84],[1477.7,5698.78],[1473.25,5755.96],[1455.46,5795.98],[1442.12,5801.7],[1390.66,5776.92],[1376.69,5751.51]]</t>
  </si>
  <si>
    <t>IMG_3023:0035</t>
  </si>
  <si>
    <t>[[3375.23,4243.34],[3344.5,4266.39],[3334.68,4287.73],[3335.96,4304.81],[3344.93,4329.14],[3362.85,4348.77],[3377.37,4349.2],[3393.59,4354.75],[3417.06,4344.5],[3434.56,4329.99],[3442.25,4307.8],[3440.54,4292.0],[3436.7,4273.65],[3426.03,4253.16],[3419.62,4242.92],[3404.26,4231.39],[3385.9,4232.24]]</t>
  </si>
  <si>
    <t>IMG_3024:0034</t>
  </si>
  <si>
    <t>[[1676.23,2401.05],[1731.97,2432.25],[1757.86,2424.28],[1773.78,2411.01],[1782.41,2398.4],[1776.44,2369.86],[1767.15,2345.31],[1755.86,2326.72],[1741.26,2316.1],[1720.69,2305.49],[1703.44,2304.82],[1688.17,2310.8],[1672.91,2324.07],[1667.6,2333.36]]</t>
  </si>
  <si>
    <t>IMG_3024:0031</t>
  </si>
  <si>
    <t>[[895.51,2569.15],[883.16,2471.0],[900.32,2456.58],[944.93,2457.96],[965.52,2476.49],[993.66,2521.1],[1001.21,2553.36],[997.78,2580.81],[976.5,2599.35],[960.03,2608.95]]</t>
  </si>
  <si>
    <t>IMG_3024:0076</t>
  </si>
  <si>
    <t>[[2344.0,252.95],[2333.25,259.4],[2340.78,274.98],[2326.27,281.97],[2319.82,285.19],[2337.55,306.69],[2341.32,326.58],[2355.83,353.45],[2364.96,365.81],[2387.0,379.25],[2407.42,377.64],[2414.95,369.04],[2431.07,283.04],[2408.5,258.32],[2375.18,243.81]]</t>
  </si>
  <si>
    <t>IMG_3026:0015</t>
  </si>
  <si>
    <t>[[1038.04,1030.61],[1033.49,998.2],[1053.96,976.02],[1078.41,965.22],[1106.84,973.18],[1139.82,991.38],[1162.0,1020.38],[1164.28,1068.71],[1140.39,1090.89],[1113.1,1096.58]]</t>
  </si>
  <si>
    <t>IMG_3026:0019</t>
  </si>
  <si>
    <t>[[2868.64,3740.02],[2856.9,3750.58],[2852.79,3762.91],[2847.51,3778.76],[2846.92,3794.61],[2853.38,3824.56],[2868.64,3842.76],[2900.35,3861.54],[2910.91,3857.43],[2926.18,3859.19],[2942.62,3848.04],[2954.36,3829.84],[2959.05,3813.4],[2958.47,3789.33],[2949.66,3764.09],[2927.94,3742.95],[2915.02,3734.73],[2895.65,3732.38],[2882.73,3732.38]]</t>
  </si>
  <si>
    <t>IMG_3027:0012</t>
  </si>
  <si>
    <t>[[3003.67,3613.19],[3029.55,3582.0],[3056.1,3564.74],[3074.02,3562.75],[3101.89,3570.71],[3117.16,3587.31],[3134.41,3605.22],[3141.71,3627.13],[3133.75,3657.65],[3095.92,3689.51],[3048.8,3693.49],[3014.29,3675.57],[3004.33,3644.38]]</t>
  </si>
  <si>
    <t>IMG_3027:0015</t>
  </si>
  <si>
    <t>[[1188.54,3060.17],[1217.4,3043.79],[1244.7,3043.01],[1276.68,3057.05],[1290.72,3068.75],[1307.1,3073.43],[1316.46,3106.97],[1325.81,3150.64],[1326.59,3167.8],[1317.24,3195.88],[1306.32,3210.7],[1290.72,3222.4],[1247.82,3214.6],[1213.5,3190.42],[1196.34,3167.8],[1179.19,3128.81],[1171.39,3107.75],[1171.39,3092.15]]</t>
  </si>
  <si>
    <t>IMG_3027:0028</t>
  </si>
  <si>
    <t>[[787.92,1507.56],[755.99,1533.77],[759.33,1559.02],[761.71,1585.23],[776.48,1610.0],[811.74,1620.96],[827.94,1611.91],[845.09,1577.6],[849.86,1549.97],[839.38,1521.86],[813.17,1503.27]]</t>
  </si>
  <si>
    <t>IMG_3028:0007</t>
  </si>
  <si>
    <t>[[2292.88,759.41],[2323.5,756.79],[2366.38,767.29],[2380.37,780.41],[2400.5,799.66],[2428.5,836.41],[2437.25,862.66],[2443.37,884.53],[2437.25,911.65],[2415.37,925.65],[2381.25,925.65],[2343.63,909.03],[2304.25,881.9],[2285.88,848.66],[2274.51,816.28],[2280.63,788.28]]</t>
  </si>
  <si>
    <t>IMG_3028:0021</t>
  </si>
  <si>
    <t>[[1162.59,4026.63],[1163.33,3997.77],[1181.46,3985.55],[1202.19,3985.18],[1229.58,3999.99],[1249.56,4018.12],[1255.12,4041.44],[1255.49,4056.61],[1246.97,4061.8],[1222.54,4053.28],[1214.03,4051.43],[1210.33,4054.39],[1211.44,4058.47],[1202.56,4062.54],[1197.75,4065.87],[1212.55,4087.7],[1181.83,4070.31]]</t>
  </si>
  <si>
    <t>IMG_3028:0013</t>
  </si>
  <si>
    <t>[[2281.33,1256.92],[2314.01,1271.18],[2341.34,1297.32],[2350.25,1325.25],[2347.87,1346.05],[2340.74,1369.22],[2324.11,1374.57],[2301.53,1378.13],[2291.43,1381.7],[2271.23,1358.52],[2253.4,1315.74],[2252.21,1285.44]]</t>
  </si>
  <si>
    <t>IMG_3031:0008</t>
  </si>
  <si>
    <t>[[2923.68,3572.0],[2955.77,3510.97],[2989.97,3498.34],[3013.12,3508.34],[3023.64,3522.01],[3021.01,3545.16],[2993.65,3580.41],[2979.97,3601.98],[2957.35,3615.66],[2936.83,3610.4],[2922.63,3599.88],[2917.89,3588.83]]</t>
  </si>
  <si>
    <t>IMG_3031:0003</t>
  </si>
  <si>
    <t>[[2865.7,1695.66],[2921.69,1647.52],[2965.64,1634.44],[3002.27,1641.76],[3010.12,1679.96],[2993.9,1720.78],[2965.64,1740.66],[2911.74,1743.8],[2877.21,1734.91],[2865.17,1715.02]]</t>
  </si>
  <si>
    <t>IMG_3032:0025</t>
  </si>
  <si>
    <t>[[1882.85,2943.52],[1896.45,2913.17],[1918.43,2892.76],[1935.7,2882.3],[1952.44,2895.38],[1982.79,2895.9],[2003.72,2904.27],[2017.85,2929.39],[2018.37,2961.83],[1990.12,2997.94],[1966.05,3006.31],[1944.07,3002.13],[1914.77,2994.28],[1889.65,2983.81],[1878.66,2955.56]]</t>
  </si>
  <si>
    <t>IMG_3032:0014</t>
  </si>
  <si>
    <t>[[5305.67,1677.93],[5345.93,1669.78],[5384.28,1677.45],[5399.61,1699.5],[5408.24,1719.15],[5399.61,1745.99],[5380.44,1760.85],[5324.36,1751.27],[5298.96,1735.93],[5295.6,1707.65],[5295.12,1689.44]]</t>
  </si>
  <si>
    <t>IMG_3034:0006</t>
  </si>
  <si>
    <t>[[4006.7,1012.62],[4045.96,1001.41],[4071.6,1002.21],[4104.45,1015.03],[4125.28,1035.86],[4138.9,1071.91],[4136.5,1097.55],[4110.06,1118.38],[4073.2,1121.59],[4032.34,1111.97],[4009.11,1086.34],[3998.69,1068.71]]</t>
  </si>
  <si>
    <t>IMG_3034:0011</t>
  </si>
  <si>
    <t>[[1738.7,1786.7],[1740.28,1757.69],[1749.78,1740.28],[1771.41,1735.53],[1813.61,1736.06],[1845.26,1749.25],[1861.09,1765.07],[1873.75,1786.18],[1867.42,1808.33],[1863.2,1822.57],[1838.4,1841.04],[1810.44,1849.48],[1780.9,1840.51],[1759.28,1832.07]]</t>
  </si>
  <si>
    <t>IMG_3034:0037</t>
  </si>
  <si>
    <t>[[885.8,2480.47],[932.69,2469.99],[955.31,2472.2],[1001.64,2481.02],[1009.37,2500.88],[1018.19,2519.64],[1014.88,2537.29],[1003.85,2558.81],[988.41,2579.77],[971.3,2584.73],[943.17,2585.28],[921.11,2578.11],[894.63,2567.08],[879.73,2562.11],[872.56,2551.63],[871.46,2526.26],[872.56,2505.3]]</t>
  </si>
  <si>
    <t>IMG_3037:0011</t>
  </si>
  <si>
    <t>[[4228.59,224.88],[4244.56,176.96],[4275.01,161.99],[4294.48,165.48],[4332.91,187.94],[4341.4,231.37],[4345.39,251.84],[4318.93,278.79],[4304.96,288.77],[4282.0,283.28],[4248.05,276.29],[4232.08,255.33]]</t>
  </si>
  <si>
    <t>IMG_3037:0028</t>
  </si>
  <si>
    <t>[[1010.85,3281.68],[1041.08,3261.32],[1064.52,3266.26],[1094.75,3281.68],[1102.15,3313.14],[1105.85,3336.58],[1080.56,3369.27],[1063.29,3382.84],[1043.55,3389.63],[1013.94,3377.91],[983.09,3350.77],[990.5,3319.92],[1002.22,3292.17]]</t>
  </si>
  <si>
    <t>IMG_3037:0027</t>
  </si>
  <si>
    <t>[[2501.34,3348.01],[2542.32,3326.79],[2565.0,3327.88],[2582.93,3337.76],[2585.85,3351.3],[2595.73,3355.69],[2583.29,3380.93],[2560.24,3406.18],[2525.85,3411.3],[2506.1,3401.06],[2494.02,3378.01],[2493.66,3359.35]]</t>
  </si>
  <si>
    <t>IMG_3039:0055</t>
  </si>
  <si>
    <t>[[1186.58,3203.74],[1229.05,3251.18],[1257.19,3257.25],[1275.39,3247.87],[1291.94,3230.22],[1292.49,3205.4],[1265.46,3181.13],[1240.64,3166.23],[1218.57,3160.72],[1211.95,3158.51]]</t>
  </si>
  <si>
    <t>IMG_3039:0033</t>
  </si>
  <si>
    <t>[[2049.93,1291.94],[2095.75,1304.78],[2106.03,1335.62],[2105.6,1363.46],[2092.33,1388.72],[2052.93,1404.14],[2009.67,1396.86],[1993.4,1393.86],[1990.83,1371.16],[1981.41,1354.46],[1970.27,1343.33],[1977.98,1318.92],[2003.25,1300.07],[2011.82,1293.65]]</t>
  </si>
  <si>
    <t>IMG_3040:0016</t>
  </si>
  <si>
    <t>[[2603.2,5507.41],[2627.77,5485.97],[2648.83,5481.68],[2668.33,5483.63],[2685.1,5494.15],[2692.9,5517.55],[2685.1,5537.83],[2676.52,5550.31],[2664.43,5558.11],[2637.13,5557.33],[2621.14,5547.97],[2605.54,5539.0],[2600.86,5528.08]]</t>
  </si>
  <si>
    <t>IMG_3040:0020</t>
  </si>
  <si>
    <t>[[2300.2,3228.19],[2304.67,3268.39],[2323.88,3291.62],[2355.59,3320.2],[2385.52,3334.95],[2404.73,3327.35],[2414.11,3288.49],[2415.0,3272.86],[2402.94,3246.05],[2387.31,3225.06],[2375.25,3214.78],[2361.4,3213.0],[2329.69,3207.19]]</t>
  </si>
  <si>
    <t>IMG_3040:0001</t>
  </si>
  <si>
    <t>[[553.93,2203.96],[579.15,2191.35],[596.61,2194.26],[638.8,2230.15],[653.35,2248.09],[654.32,2269.92],[637.34,2283.5],[637.34,2292.23],[628.13,2291.26],[584.0,2271.86],[562.66,2249.06],[550.05,2225.3]]</t>
  </si>
  <si>
    <t>IMG_3042:0002</t>
  </si>
  <si>
    <t>[[495.75,2422.67],[543.36,2433.31],[556.81,2442.27],[572.49,2463.0],[576.41,2484.28],[569.13,2501.65],[557.37,2515.09],[537.2,2515.65],[504.15,2517.33],[494.07,2513.41],[476.15,2499.97],[464.94,2492.69],[460.46,2478.68],[464.94,2459.08],[476.15,2441.15],[483.43,2428.27]]</t>
  </si>
  <si>
    <t>IMG_3042:0004</t>
  </si>
  <si>
    <t>[[267.56,1496.95],[258.07,1515.92],[251.58,1545.37],[261.07,1564.34],[267.06,1583.31],[290.02,1588.8],[278.04,1591.29],[295.51,1582.31],[308.99,1586.8],[317.47,1585.3],[332.45,1545.87],[340.43,1526.4],[337.94,1506.93],[325.96,1487.47],[308.99,1479.98],[289.52,1480.98]]</t>
  </si>
  <si>
    <t>IMG_3042:0005</t>
  </si>
  <si>
    <t>[[3457.82,2934.92],[3449.38,2951.27],[3452.01,2973.96],[3452.54,2996.11],[3455.18,3007.72],[3466.78,3022.49],[3476.81,3029.87],[3491.58,3029.35],[3498.96,3025.65],[3505.82,3009.3],[3506.35,2992.95],[3503.71,2969.74],[3494.74,2954.44],[3490.52,2935.97],[3482.61,2927.53],[3467.31,2923.84]]</t>
  </si>
  <si>
    <t>IMG_3043:0014</t>
  </si>
  <si>
    <t>[[1786.43,2423.18],[1797.22,2402.08],[1809.49,2393.25],[1821.75,2377.55],[1832.06,2369.21],[1849.23,2364.79],[1866.4,2366.27],[1878.18,2377.55],[1882.59,2390.31],[1884.07,2407.48],[1873.76,2429.56],[1855.61,2450.17],[1839.42,2462.43],[1825.19,2468.32],[1814.88,2469.3],[1809.0,2462.43],[1800.16,2455.56],[1792.31,2451.64],[1786.92,2446.24],[1784.95,2439.86]]</t>
  </si>
  <si>
    <t>IMG_3043:0022</t>
  </si>
  <si>
    <t>[[779.87,3149.85],[811.18,3131.7],[849.3,3136.69],[864.27,3143.95],[878.79,3163.01],[880.61,3182.07],[872.44,3207.94],[844.76,3213.38],[816.63,3210.21],[794.39,3198.86],[773.97,3182.07],[770.34,3173.45],[770.79,3157.11]]</t>
  </si>
  <si>
    <t>IMG_3044:0002</t>
  </si>
  <si>
    <t>[[3121.98,1694.96],[3152.18,1663.91],[3178.56,1660.08],[3217.7,1664.76],[3241.95,1678.37],[3249.18,1700.07],[3250.88,1732.4],[3241.09,1742.19],[3204.08,1760.48],[3179.83,1758.35],[3151.76,1746.44],[3136.02,1737.08],[3123.68,1716.24]]</t>
  </si>
  <si>
    <t>IMG_3044:0005</t>
  </si>
  <si>
    <t>[[3565.06,1731.32],[3589.1,1705.27],[3633.85,1676.55],[3671.92,1658.52],[3690.62,1666.53],[3703.98,1676.55],[3711.33,1696.59],[3712.66,1709.95],[3703.31,1733.99],[3690.62,1755.37],[3675.26,1788.09],[3643.87,1804.79],[3612.48,1806.13],[3585.09,1810.8],[3567.73,1807.46],[3557.04,1787.43],[3561.05,1747.35]]</t>
  </si>
  <si>
    <t>IMG_3044:0006</t>
  </si>
  <si>
    <t>[[1928.27,612.41],[1965.04,600.3],[2000.94,605.06],[2028.62,621.06],[2047.21,639.23],[2044.19,669.94],[2013.48,685.08],[1962.01,684.21],[1920.06,666.91],[1911.41,640.09],[1918.33,624.09]]</t>
  </si>
  <si>
    <t>IMG_3046:0002</t>
  </si>
  <si>
    <t>[[1788.85,1882.44],[1825.07,1911.52],[1871.72,1925.24],[1885.44,1922.5],[1898.06,1928.54],[1917.27,1922.5],[1938.12,1913.17],[1946.36,1897.8],[1943.61,1882.44],[1941.97,1867.62],[1936.48,1857.74],[1916.72,1846.22],[1890.38,1831.4],[1875.01,1822.07],[1853.61,1811.64],[1836.05,1810.0],[1799.83,1822.62],[1781.17,1831.95],[1778.42,1848.96],[1777.33,1860.48]]</t>
  </si>
  <si>
    <t>IMG_3046:0003</t>
  </si>
  <si>
    <t>[[1699.16,2775.48],[1713.09,2747.61],[1747.93,2736.16],[1775.31,2740.14],[1778.3,2768.02],[1769.84,2806.84],[1754.41,2840.19],[1725.04,2866.07],[1698.16,2860.1],[1682.73,2842.18],[1680.24,2814.81],[1682.23,2800.37]]</t>
  </si>
  <si>
    <t>IMG_3046:0001</t>
  </si>
  <si>
    <t>[[2085.91,2249.03],[2128.71,2260.4],[2154.17,2285.86],[2171.5,2316.74],[2188.84,2341.12],[2186.13,2364.41],[2176.38,2375.78],[2162.84,2385.54],[2155.25,2391.49],[2138.46,2384.99],[2122.21,2372.53],[2107.58,2362.78],[2090.25,2354.12],[2082.66,2337.87],[2074.54,2314.57],[2066.41,2272.32]]</t>
  </si>
  <si>
    <t>IMG_3047:0008</t>
  </si>
  <si>
    <t>[[2971.81,3089.26],[2992.33,3085.27],[3002.6,3087.55],[3024.26,3088.69],[3041.36,3097.24],[3056.18,3104.08],[3073.85,3116.62],[3093.24,3134.3],[3104.07,3158.24],[3108.06,3174.2],[3094.38,3189.02],[3074.42,3197.0],[3061.88,3197.57],[3036.8,3186.74],[3021.98,3179.33],[2996.89,3167.36],[2979.79,3155.39],[2969.53,3142.85],[2963.83,3128.6],[2961.55,3116.05],[2964.4,3103.51]]</t>
  </si>
  <si>
    <t>IMG_3047:0038</t>
  </si>
  <si>
    <t>[[1866.79,3732.0],[1869.74,3780.96],[1895.69,3811.64],[1919.29,3825.79],[1939.35,3837.59],[1972.97,3816.36],[1994.8,3760.31],[1987.72,3734.95],[1944.07,3704.27],[1905.72,3693.06]]</t>
  </si>
  <si>
    <t>IMG_3047:0019</t>
  </si>
  <si>
    <t>[[2720.84,1632.02],[2749.06,1620.99],[2775.96,1623.2],[2795.81,1629.81],[2801.98,1659.8],[2792.72,1682.29],[2760.09,1699.05],[2742.45,1702.58],[2723.92,1694.2],[2700.11,1677.44],[2702.75,1655.83],[2706.28,1645.69]]</t>
  </si>
  <si>
    <t>IMG_3050:0001</t>
  </si>
  <si>
    <t>[[1334.97,4088.61],[1300.37,4127.34],[1311.91,4157.0],[1325.91,4196.55],[1343.21,4230.33],[1360.52,4250.92],[1395.94,4250.1],[1432.2,4255.04],[1468.45,4244.33],[1484.92,4222.09],[1488.22,4203.14],[1469.27,4152.05],[1442.91,4110.86],[1405.01,4081.2],[1365.46,4077.08],[1339.92,4072.14]]</t>
  </si>
  <si>
    <t>IMG_3050:0007</t>
  </si>
  <si>
    <t>[[1537.47,2161.97],[1606.83,2151.48],[1631.31,2163.72],[1668.61,2194.61],[1667.44,2224.34],[1649.37,2244.15],[1613.82,2253.48],[1582.35,2249.4],[1546.21,2233.08],[1529.31,2209.18],[1526.4,2182.37]]</t>
  </si>
  <si>
    <t>IMG_3051:0001</t>
  </si>
  <si>
    <t>[[1497.47,926.02],[1497.47,955.22],[1505.38,974.08],[1517.55,989.9],[1528.5,1000.85],[1536.41,1011.8],[1568.04,1021.53],[1591.16,1020.92],[1608.19,1017.27],[1628.88,998.42],[1630.09,983.82],[1625.84,963.74],[1617.32,940.01],[1603.93,921.76],[1589.33,908.99],[1575.34,900.47],[1554.05,893.78],[1530.93,893.17],[1516.33,896.21]]</t>
  </si>
  <si>
    <t>IMG_3051:0002</t>
  </si>
  <si>
    <t>[[1737.97,886.12],[1718.87,937.03],[1727.36,958.78],[1735.84,978.93],[1753.35,985.3],[1783.58,987.42],[1800.55,977.87],[1814.34,957.72],[1815.4,925.37],[1809.03,911.05],[1789.94,888.77],[1765.01,879.75]]</t>
  </si>
  <si>
    <t>IMG_3051:0006</t>
  </si>
  <si>
    <t>[[3423.85,1982.8],[3460.37,1968.49],[3500.34,1960.59],[3531.93,1973.42],[3563.51,1998.59],[3558.58,2021.79],[3530.45,2054.85],[3488.99,2070.15],[3428.29,2071.13],[3408.55,2049.91],[3400.66,2023.76],[3406.58,2002.54]]</t>
  </si>
  <si>
    <t>IMG_3053:0001</t>
  </si>
  <si>
    <t>[[197.12,2458.85],[196.55,2495.91],[207.95,2525.55],[242.16,2555.76],[276.93,2566.59],[321.97,2558.61],[325.39,2536.95],[320.26,2516.43],[292.32,2497.62],[263.25,2478.23],[241.02,2457.71],[218.78,2449.73],[207.38,2450.3]]</t>
  </si>
  <si>
    <t>IMG_3053:0008</t>
  </si>
  <si>
    <t>[[580.36,2575.51],[563.91,2612.95],[587.17,2652.65],[611.56,2676.48],[624.04,2683.85],[639.92,2677.61],[664.31,2679.88],[671.69,2621.45],[656.94,2579.48],[608.72,2559.63]]</t>
  </si>
  <si>
    <t>IMG_3053:0006</t>
  </si>
  <si>
    <t>[[2261.1,2528.51],[2256.53,2542.22],[2261.1,2557.7],[2278.68,2574.58],[2292.05,2574.22],[2309.28,2572.47],[2322.29,2576.69],[2335.66,2569.65],[2353.94,2550.31],[2371.53,2539.41],[2373.64,2524.29],[2367.66,2508.46],[2350.43,2485.95],[2332.14,2477.51],[2308.58,2485.95],[2281.5,2501.78]]</t>
  </si>
  <si>
    <t>IMG_3054:0001</t>
  </si>
  <si>
    <t>[[3409.38,2874.43],[3422.73,2853.07],[3440.66,2845.83],[3451.72,2842.77],[3477.66,2845.06],[3483.38,2851.55],[3488.34,2865.28],[3488.72,2880.16],[3482.24,2901.14],[3465.45,2918.3],[3447.91,2929.75],[3433.41,2934.71],[3419.3,2932.04],[3411.29,2922.5],[3404.8,2908.39],[3401.37,2894.65],[3404.04,2886.26]]</t>
  </si>
  <si>
    <t>IMG_3054:0011</t>
  </si>
  <si>
    <t>[[2808.25,2651.79],[2791.81,2709.75],[2797.0,2733.97],[2822.52,2740.02],[2894.75,2701.53],[2906.43,2667.36],[2892.59,2638.82],[2868.8,2630.17]]</t>
  </si>
  <si>
    <t>IMG_3054:0017</t>
  </si>
  <si>
    <t>[[2630.94,1505.22],[2652.83,1497.93],[2681.04,1495.98],[2700.01,1508.14],[2711.68,1531.0],[2714.6,1561.65],[2709.25,1586.45],[2684.44,1607.86],[2654.77,1612.23],[2635.32,1591.32],[2626.56,1562.13],[2625.59,1531.0]]</t>
  </si>
  <si>
    <t>IMG_3055:0007</t>
  </si>
  <si>
    <t>[[3372.59,492.61],[3393.75,465.63],[3417.02,447.12],[3432.89,438.13],[3464.63,441.3],[3487.9,448.18],[3511.7,456.11],[3521.75,465.63],[3532.86,488.38],[3534.98,500.54],[3523.34,529.1],[3504.83,548.15],[3491.6,551.32],[3427.07,550.79],[3392.16,540.21],[3370.48,514.29]]</t>
  </si>
  <si>
    <t>IMG_3055:0017</t>
  </si>
  <si>
    <t>[[596.09,3748.84],[615.42,3730.1],[657.59,3732.44],[692.14,3748.26],[711.47,3757.04],[744.85,3836.69],[649.39,3899.94]]</t>
  </si>
  <si>
    <t>IMG_3055:0015</t>
  </si>
  <si>
    <t>[[4329.99,1835.81],[4360.94,1772.08],[4390.68,1752.05],[4414.96,1750.84],[4425.27,1768.44],[4410.1,1790.29],[4424.06,1816.39],[4444.09,1821.85],[4440.45,1850.98],[4396.14,1888.61],[4383.4,1892.86],[4353.66,1877.08],[4333.02,1859.48]]</t>
  </si>
  <si>
    <t>Sixteen-variety paired comparison</t>
  </si>
  <si>
    <t>watered_plant_unit_id</t>
  </si>
  <si>
    <t>drought_plant_unit_id</t>
  </si>
  <si>
    <t>watered_mean_area</t>
  </si>
  <si>
    <t>drought_mean_area</t>
  </si>
  <si>
    <t>descriptive_mean_area</t>
  </si>
  <si>
    <t>difference_drought_minus_watered</t>
  </si>
  <si>
    <t>watered_n_stomata</t>
  </si>
  <si>
    <t>drought_n_stomata</t>
  </si>
  <si>
    <t>complete_pair</t>
  </si>
  <si>
    <t>watered_canopy_mean_c</t>
  </si>
  <si>
    <t>drought_canopy_mean_c</t>
  </si>
  <si>
    <t>difference_drought_minus_watered_canopy_mean_c</t>
  </si>
  <si>
    <t>watered_canopy_delta_t_air_c</t>
  </si>
  <si>
    <t>drought_canopy_delta_t_air_c</t>
  </si>
  <si>
    <t>difference_drought_minus_watered_canopy_delta_t_air_c</t>
  </si>
  <si>
    <t>watered_projected_plant_area_px2</t>
  </si>
  <si>
    <t>drought_projected_plant_area_px2</t>
  </si>
  <si>
    <t>difference_drought_minus_watered_projected_plant_area_px2</t>
  </si>
  <si>
    <t>watered_projected_plant_area_fraction</t>
  </si>
  <si>
    <t>drought_projected_plant_area_fraction</t>
  </si>
  <si>
    <t>difference_drought_minus_watered_projected_plant_area_fraction</t>
  </si>
  <si>
    <t>watered_thermal_mask_qc_passed</t>
  </si>
  <si>
    <t>drought_thermal_mask_qc_passed</t>
  </si>
  <si>
    <t>qc_pair</t>
  </si>
  <si>
    <t>qc_canopy_diff_c</t>
  </si>
  <si>
    <t>qc_projected_area_diff_px2</t>
  </si>
  <si>
    <t>Variety</t>
  </si>
  <si>
    <t>Watered mean area</t>
  </si>
  <si>
    <t>Drought-stressed mean area</t>
  </si>
  <si>
    <t>Treatment-level findings and paired statistics</t>
  </si>
  <si>
    <t>Study dimension</t>
  </si>
  <si>
    <t>Manually measured stomata</t>
  </si>
  <si>
    <t>Complete variety pairs</t>
  </si>
  <si>
    <t>STOMATAL-COMPLEX AREA</t>
  </si>
  <si>
    <t>Metric</t>
  </si>
  <si>
    <t>Difference (D − W)</t>
  </si>
  <si>
    <t>95% CI low</t>
  </si>
  <si>
    <t>95% CI high</t>
  </si>
  <si>
    <t>p-value</t>
  </si>
  <si>
    <t>Mean plant-level stomatal-complex area (px²)</t>
  </si>
  <si>
    <t>Relative difference</t>
  </si>
  <si>
    <t>Median paired difference (px²)</t>
  </si>
  <si>
    <t>Paired t-test</t>
  </si>
  <si>
    <t>Wilcoxon signed-rank sensitivity</t>
  </si>
  <si>
    <t>THERMAL AND PROJECTED PLANT-AREA FINDINGS</t>
  </si>
  <si>
    <t>Pairs</t>
  </si>
  <si>
    <t>95% CI</t>
  </si>
  <si>
    <t>Canopy mean temperature (°C; individual QC-pass plants)</t>
  </si>
  <si>
    <t>Canopy temperature paired effect (°C; all 16 pairs)</t>
  </si>
  <si>
    <t>−0.577 to 0.268</t>
  </si>
  <si>
    <t>Canopy temperature paired effect (°C; 14 complete QC pairs)</t>
  </si>
  <si>
    <t>−0.528 to 0.046</t>
  </si>
  <si>
    <t>Projected plant area (px²; individual QC-pass plants)</t>
  </si>
  <si>
    <t>Projected plant area paired effect (px²; 14 complete QC pairs)</t>
  </si>
  <si>
    <t>968 to 3,779</t>
  </si>
  <si>
    <t>SOURCE-BACKED TREATMENT SUMMARY</t>
  </si>
  <si>
    <t>n_plants</t>
  </si>
  <si>
    <t>n_stomata</t>
  </si>
  <si>
    <t>mean_of_plant_mean_area</t>
  </si>
  <si>
    <t>median_of_plant_mean_area</t>
  </si>
  <si>
    <t>sd_of_plant_mean_area</t>
  </si>
  <si>
    <t>n_thermal_plants_qc_passed</t>
  </si>
  <si>
    <t>mean_canopy_mean_c_qc_passed</t>
  </si>
  <si>
    <t>mean_canopy_delta_t_air_c_qc_passed</t>
  </si>
  <si>
    <t>mean_projected_plant_area_px2_qc_passed</t>
  </si>
  <si>
    <t>mean_projected_plant_area_fraction_qc_passed</t>
  </si>
  <si>
    <t>SeedThermal findings and quality control</t>
  </si>
  <si>
    <t>QC metric</t>
  </si>
  <si>
    <t>Finding</t>
  </si>
  <si>
    <t>Mean D − W</t>
  </si>
  <si>
    <t>Paired t p</t>
  </si>
  <si>
    <t>QC exclusions
NC264G Regular selected 51.6% of the frame; 26-033 Control selected 76.3%. Most valid masks cover 1.4–3.9%. These two rows remain in the integrated ledger with explicit flags and are excluded from the 14-pair projected-area analysis.</t>
  </si>
  <si>
    <t>July 15 masks passing QC</t>
  </si>
  <si>
    <t>Canopy mean temperature, all pairs</t>
  </si>
  <si>
    <t>−0.577 to 0.268 °C</t>
  </si>
  <si>
    <t>July 15 masks failing QC</t>
  </si>
  <si>
    <t>Canopy mean temperature, complete QC</t>
  </si>
  <si>
    <t>−0.528 to 0.046 °C</t>
  </si>
  <si>
    <t>Complete QC variety pairs</t>
  </si>
  <si>
    <t>Projected plant area, complete QC</t>
  </si>
  <si>
    <t>968 to 3,779 px²</t>
  </si>
  <si>
    <t>THERMAL OBSERVATION LEDGER · ALL SESSIONS</t>
  </si>
  <si>
    <t>session_id</t>
  </si>
  <si>
    <t>plant_id</t>
  </si>
  <si>
    <t>treatment</t>
  </si>
  <si>
    <t>group_type</t>
  </si>
  <si>
    <t>source_file</t>
  </si>
  <si>
    <t>capture_time</t>
  </si>
  <si>
    <t>mean_c</t>
  </si>
  <si>
    <t>median_c</t>
  </si>
  <si>
    <t>min_c</t>
  </si>
  <si>
    <t>max_c</t>
  </si>
  <si>
    <t>std_c</t>
  </si>
  <si>
    <t>p10_c</t>
  </si>
  <si>
    <t>p90_c</t>
  </si>
  <si>
    <t>mtd_c</t>
  </si>
  <si>
    <t>pixel_count</t>
  </si>
  <si>
    <t>delta_t_air</t>
  </si>
  <si>
    <t>roi_type</t>
  </si>
  <si>
    <t>session_date</t>
  </si>
  <si>
    <t>S20260713</t>
  </si>
  <si>
    <t>paired(L:Control,R:Regular)</t>
  </si>
  <si>
    <t>S20260713_P01_NC264G_A.JPG</t>
  </si>
  <si>
    <t>2026:07:13 15:13:32.338-04:00</t>
  </si>
  <si>
    <t>full_frame</t>
  </si>
  <si>
    <t>2026-07-13</t>
  </si>
  <si>
    <t>paired(L:Regular,R:Control)</t>
  </si>
  <si>
    <t>S20260713_P02_25203G_A.JPG</t>
  </si>
  <si>
    <t>2026:07:13 15:17:40.663-04:00</t>
  </si>
  <si>
    <t>S20260713_P03_25317G_A.JPG</t>
  </si>
  <si>
    <t>2026:07:13 15:20:56.558-04:00</t>
  </si>
  <si>
    <t>S20260713_P04_26-016_A.JPG</t>
  </si>
  <si>
    <t>2026:07:13 15:22:14.843-04:00</t>
  </si>
  <si>
    <t>S20260713_P05_26-018_A.JPG</t>
  </si>
  <si>
    <t>2026:07:13 15:23:26.880-04:00</t>
  </si>
  <si>
    <t>S20260713_P06_25-014_A.JPG</t>
  </si>
  <si>
    <t>2026:07:13 15:24:32.994-04:00</t>
  </si>
  <si>
    <t>S20260713_P07_25-013_A.JPG</t>
  </si>
  <si>
    <t>2026:07:13 15:26:00.491-04:00</t>
  </si>
  <si>
    <t>CherokeePurple</t>
  </si>
  <si>
    <t>S20260713_P08_CherokeePurple_A.JPG</t>
  </si>
  <si>
    <t>2026:07:13 15:27:17.769-04:00</t>
  </si>
  <si>
    <t>S20260713_P09_25-12_A.JPG</t>
  </si>
  <si>
    <t>2026:07:13 15:28:57.848-04:00</t>
  </si>
  <si>
    <t>MountainGem</t>
  </si>
  <si>
    <t>S20260713_P10_MountainGem_A.JPG</t>
  </si>
  <si>
    <t>2026:07:13 15:30:33.562-04:00</t>
  </si>
  <si>
    <t>S20260713_P11_26-037_A.JPG</t>
  </si>
  <si>
    <t>2026:07:13 15:31:46.269-04:00</t>
  </si>
  <si>
    <t>S20260713_P12_26-033_A.JPG</t>
  </si>
  <si>
    <t>2026:07:13 15:33:13.685-04:00</t>
  </si>
  <si>
    <t>MountainGirl</t>
  </si>
  <si>
    <t>S20260713_P13_MountainGirl_A.JPG</t>
  </si>
  <si>
    <t>2026:07:13 15:34:22.294-04:00</t>
  </si>
  <si>
    <t>AilsaCraig</t>
  </si>
  <si>
    <t>S20260713_P14_AilsaCraig_A.JPG</t>
  </si>
  <si>
    <t>2026:07:13 15:35:38.982-04:00</t>
  </si>
  <si>
    <t>S20260713_P15_NC261G_A.JPG</t>
  </si>
  <si>
    <t>2026:07:13 15:36:58.543-04:00</t>
  </si>
  <si>
    <t>MountainHeritage</t>
  </si>
  <si>
    <t>S20260713_P16_MountainHeritage_A.JPG</t>
  </si>
  <si>
    <t>2026:07:13 15:38:08.500-04:00</t>
  </si>
  <si>
    <t>S20260714</t>
  </si>
  <si>
    <t>S20260714_P01_NC264G_Control_Regular.JPG</t>
  </si>
  <si>
    <t>2026:07:14 13:22:16.925-04:00</t>
  </si>
  <si>
    <t>2026-07-14</t>
  </si>
  <si>
    <t>S20260714_P02_25203G_Regular_Control.JPG</t>
  </si>
  <si>
    <t>2026:07:14 13:24:08.140-04:00</t>
  </si>
  <si>
    <t>S20260714_P03_25317G_Control_Regular.JPG</t>
  </si>
  <si>
    <t>2026:07:14 13:25:20.056-04:00</t>
  </si>
  <si>
    <t>S20260714_P04_26-016_Regular_Control.JPG</t>
  </si>
  <si>
    <t>2026:07:14 13:26:15.324-04:00</t>
  </si>
  <si>
    <t>S20260714_P05_26-018_Control_Regular.JPG</t>
  </si>
  <si>
    <t>2026:07:14 13:27:10.607-04:00</t>
  </si>
  <si>
    <t>S20260714_P06_25-014_Regular_Control.JPG</t>
  </si>
  <si>
    <t>2026:07:14 13:29:02.975-04:00</t>
  </si>
  <si>
    <t>S20260714_P07_25-013_Control_Regular.JPG</t>
  </si>
  <si>
    <t>2026:07:14 13:29:59.029-04:00</t>
  </si>
  <si>
    <t>S20260714_P08_CherokeePurple_Regular_Control.JPG</t>
  </si>
  <si>
    <t>2026:07:14 13:30:42.801-04:00</t>
  </si>
  <si>
    <t>S20260714_P09_25-12_Control_Regular.JPG</t>
  </si>
  <si>
    <t>2026:07:14 13:32:22.062-04:00</t>
  </si>
  <si>
    <t>S20260714_P10_MountainGem_Regular_Control.JPG</t>
  </si>
  <si>
    <t>2026:07:14 13:33:35.350-04:00</t>
  </si>
  <si>
    <t>S20260714_P11_26-037_Control_Regular.JPG</t>
  </si>
  <si>
    <t>2026:07:14 13:34:59.772-04:00</t>
  </si>
  <si>
    <t>S20260714_P12_26-033_Regular_Control.JPG</t>
  </si>
  <si>
    <t>2026:07:14 13:35:49.702-04:00</t>
  </si>
  <si>
    <t>S20260714_P13_MountainGirl_Control_Regular.JPG</t>
  </si>
  <si>
    <t>2026:07:14 13:36:32.549-04:00</t>
  </si>
  <si>
    <t>S20260714_P14_AilsaCraig_Regular_Control.JPG</t>
  </si>
  <si>
    <t>2026:07:14 13:37:34.998-04:00</t>
  </si>
  <si>
    <t>S20260714_P15_NC261G_Control_Regular.JPG</t>
  </si>
  <si>
    <t>2026:07:14 13:38:33.919-04:00</t>
  </si>
  <si>
    <t>S20260714_P16_MountainHeritage_Regular_Control.JPG</t>
  </si>
  <si>
    <t>2026:07:14 13:39:25.888-04:00</t>
  </si>
  <si>
    <t>Control</t>
  </si>
  <si>
    <t>auto_mask</t>
  </si>
  <si>
    <t>2026-07-15</t>
  </si>
  <si>
    <t>Regular</t>
  </si>
  <si>
    <t>AlisaCraig</t>
  </si>
  <si>
    <t>JULY 15 VARIETY-LEVEL TREATMENT CONTRASTS</t>
  </si>
  <si>
    <t>diff_C_minus_R</t>
  </si>
  <si>
    <t>Tomato Drought Integrated Findings</t>
  </si>
  <si>
    <t>Stomatal result
Drought-stressed plants averaged 757 px² (6.9%) smaller stomatal complexes, but uncertainty is substantial and both paired tests are non-significant.</t>
  </si>
  <si>
    <t xml:space="preserve">Thermal result
No overall canopy-temperature difference was detected. The QC-filtered projected-area contrast is statistically strong but remains provisional </t>
  </si>
  <si>
    <t>Interpretation</t>
  </si>
  <si>
    <t xml:space="preserve">SeedThermal + StomatalPhenotypingPipeline | 16 varieties · paired watered and drought-stressed plants </t>
  </si>
  <si>
    <t>14 complete QC pairs; no physical-area 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</si>
</sst>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21">
    <font>
      <sz val="11"/>
      <name val="Carlito"/>
    </font>
    <font>
      <b/>
      <sz val="22"/>
      <color rgb="FFF7F4EC"/>
      <name val="Aptos Display"/>
    </font>
    <font>
      <i/>
      <sz val="10"/>
      <color rgb="FF294A3D"/>
      <name val="Aptos"/>
    </font>
    <font>
      <b/>
      <sz val="9"/>
      <color rgb="FFFFFFFF"/>
      <name val="Aptos"/>
    </font>
    <font>
      <sz val="9"/>
      <color rgb="FF24352F"/>
      <name val="Aptos"/>
    </font>
    <font>
      <sz val="9"/>
      <color rgb="FF9B3328"/>
      <name val="Aptos"/>
    </font>
    <font>
      <b/>
      <sz val="11"/>
      <color rgb="FFFFFFFF"/>
      <name val="Carlito"/>
    </font>
    <font>
      <b/>
      <sz val="16"/>
      <color rgb="FF17382F"/>
      <name val="Carlito"/>
    </font>
    <font>
      <i/>
      <sz val="9"/>
      <color rgb="FF4A473F"/>
      <name val="Carlito"/>
    </font>
    <font>
      <b/>
      <sz val="12"/>
      <color rgb="FF3E3526"/>
      <name val="Aptos Display"/>
    </font>
    <font>
      <sz val="10"/>
      <color rgb="FF4B382F"/>
      <name val="Carlito"/>
    </font>
    <font>
      <sz val="10"/>
      <color rgb="FF294A3D"/>
      <name val="Carlito"/>
    </font>
    <font>
      <sz val="9"/>
      <color rgb="FF7B3228"/>
      <name val="Carlito"/>
    </font>
    <font>
      <b/>
      <sz val="9"/>
      <color rgb="FFE9F2ED"/>
      <name val="Aptos"/>
    </font>
    <font>
      <b/>
      <sz val="24"/>
      <color rgb="FF17382F"/>
      <name val="Aptos Display"/>
    </font>
    <font>
      <b/>
      <sz val="9"/>
      <color rgb="FF24352F"/>
      <name val="Aptos"/>
    </font>
    <font>
      <b/>
      <sz val="10"/>
      <color rgb="FFFFFFFF"/>
      <name val="Aptos"/>
    </font>
    <font>
      <sz val="10"/>
      <color rgb="FF4B382F"/>
      <name val="Aptos"/>
    </font>
    <font>
      <b/>
      <sz val="9"/>
      <color rgb="FF7B3E2B"/>
      <name val="Aptos"/>
    </font>
    <font>
      <sz val="11"/>
      <color rgb="FFFFFFFF"/>
      <name val="Carlito"/>
    </font>
    <font>
      <sz val="8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82F"/>
      </patternFill>
    </fill>
    <fill>
      <patternFill patternType="solid">
        <fgColor rgb="FFDDE9E0"/>
      </patternFill>
    </fill>
    <fill>
      <patternFill patternType="solid">
        <fgColor rgb="FF2F6B58"/>
      </patternFill>
    </fill>
    <fill>
      <patternFill patternType="solid">
        <fgColor rgb="FFF8F6F0"/>
      </patternFill>
    </fill>
    <fill>
      <patternFill patternType="solid">
        <fgColor rgb="FFE9E4D5"/>
      </patternFill>
    </fill>
    <fill>
      <patternFill patternType="solid">
        <fgColor rgb="FFE8C98A"/>
      </patternFill>
    </fill>
    <fill>
      <patternFill patternType="solid">
        <fgColor rgb="FFFFF8EF"/>
      </patternFill>
    </fill>
    <fill>
      <patternFill patternType="solid">
        <fgColor rgb="FFEDF4EF"/>
      </patternFill>
    </fill>
    <fill>
      <patternFill patternType="solid">
        <fgColor rgb="FFF8D9D1"/>
      </patternFill>
    </fill>
    <fill>
      <patternFill patternType="solid">
        <fgColor rgb="FFC76345"/>
      </patternFill>
    </fill>
    <fill>
      <patternFill patternType="solid">
        <fgColor rgb="FFFFFFFF"/>
      </patternFill>
    </fill>
  </fills>
  <borders count="31">
    <border>
      <left/>
      <right/>
      <top/>
      <bottom/>
      <diagonal/>
    </border>
    <border>
      <left/>
      <right style="thin">
        <color rgb="FFB8CEC4"/>
      </right>
      <top/>
      <bottom/>
      <diagonal/>
    </border>
    <border>
      <left style="thin">
        <color rgb="FFB8CEC4"/>
      </left>
      <right/>
      <top/>
      <bottom/>
      <diagonal/>
    </border>
    <border>
      <left/>
      <right/>
      <top/>
      <bottom style="thin">
        <color rgb="FFE4E9E6"/>
      </bottom>
      <diagonal/>
    </border>
    <border>
      <left/>
      <right/>
      <top style="thin">
        <color rgb="FFE4E9E6"/>
      </top>
      <bottom style="thin">
        <color rgb="FFE4E9E6"/>
      </bottom>
      <diagonal/>
    </border>
    <border>
      <left/>
      <right/>
      <top style="thin">
        <color rgb="FFE4E9E6"/>
      </top>
      <bottom/>
      <diagonal/>
    </border>
    <border>
      <left style="thin">
        <color rgb="FFB8CEC4"/>
      </left>
      <right style="thin">
        <color rgb="FFB8CEC4"/>
      </right>
      <top/>
      <bottom/>
      <diagonal/>
    </border>
    <border>
      <left style="thin">
        <color rgb="FFD9B59E"/>
      </left>
      <right/>
      <top style="thin">
        <color rgb="FFD9B59E"/>
      </top>
      <bottom/>
      <diagonal/>
    </border>
    <border>
      <left/>
      <right/>
      <top style="thin">
        <color rgb="FFD9B59E"/>
      </top>
      <bottom/>
      <diagonal/>
    </border>
    <border>
      <left/>
      <right style="thin">
        <color rgb="FFD9B59E"/>
      </right>
      <top style="thin">
        <color rgb="FFD9B59E"/>
      </top>
      <bottom/>
      <diagonal/>
    </border>
    <border>
      <left style="thin">
        <color rgb="FFD9B59E"/>
      </left>
      <right/>
      <top/>
      <bottom/>
      <diagonal/>
    </border>
    <border>
      <left/>
      <right style="thin">
        <color rgb="FFD9B59E"/>
      </right>
      <top/>
      <bottom/>
      <diagonal/>
    </border>
    <border>
      <left style="thin">
        <color rgb="FFD9B59E"/>
      </left>
      <right/>
      <top/>
      <bottom style="thin">
        <color rgb="FFD9B59E"/>
      </bottom>
      <diagonal/>
    </border>
    <border>
      <left/>
      <right/>
      <top/>
      <bottom style="thin">
        <color rgb="FFD9B59E"/>
      </bottom>
      <diagonal/>
    </border>
    <border>
      <left/>
      <right style="thin">
        <color rgb="FFD9B59E"/>
      </right>
      <top/>
      <bottom style="thin">
        <color rgb="FFD9B59E"/>
      </bottom>
      <diagonal/>
    </border>
    <border>
      <left style="thin">
        <color rgb="FFA9BDB4"/>
      </left>
      <right/>
      <top style="thin">
        <color rgb="FFA9BDB4"/>
      </top>
      <bottom/>
      <diagonal/>
    </border>
    <border>
      <left/>
      <right/>
      <top style="thin">
        <color rgb="FFA9BDB4"/>
      </top>
      <bottom/>
      <diagonal/>
    </border>
    <border>
      <left/>
      <right style="thin">
        <color rgb="FFA9BDB4"/>
      </right>
      <top style="thin">
        <color rgb="FFA9BDB4"/>
      </top>
      <bottom/>
      <diagonal/>
    </border>
    <border>
      <left style="thin">
        <color rgb="FFA9BDB4"/>
      </left>
      <right/>
      <top/>
      <bottom/>
      <diagonal/>
    </border>
    <border>
      <left/>
      <right style="thin">
        <color rgb="FFA9BDB4"/>
      </right>
      <top/>
      <bottom/>
      <diagonal/>
    </border>
    <border>
      <left style="thin">
        <color rgb="FFA9BDB4"/>
      </left>
      <right/>
      <top/>
      <bottom style="thin">
        <color rgb="FFA9BDB4"/>
      </bottom>
      <diagonal/>
    </border>
    <border>
      <left/>
      <right/>
      <top/>
      <bottom style="thin">
        <color rgb="FFA9BDB4"/>
      </bottom>
      <diagonal/>
    </border>
    <border>
      <left/>
      <right style="thin">
        <color rgb="FFA9BDB4"/>
      </right>
      <top/>
      <bottom style="thin">
        <color rgb="FFA9BDB4"/>
      </bottom>
      <diagonal/>
    </border>
    <border>
      <left style="thin">
        <color rgb="FFD9A79D"/>
      </left>
      <right/>
      <top style="thin">
        <color rgb="FFD9A79D"/>
      </top>
      <bottom/>
      <diagonal/>
    </border>
    <border>
      <left/>
      <right/>
      <top style="thin">
        <color rgb="FFD9A79D"/>
      </top>
      <bottom/>
      <diagonal/>
    </border>
    <border>
      <left/>
      <right style="thin">
        <color rgb="FFD9A79D"/>
      </right>
      <top style="thin">
        <color rgb="FFD9A79D"/>
      </top>
      <bottom/>
      <diagonal/>
    </border>
    <border>
      <left style="thin">
        <color rgb="FFD9A79D"/>
      </left>
      <right/>
      <top/>
      <bottom/>
      <diagonal/>
    </border>
    <border>
      <left/>
      <right style="thin">
        <color rgb="FFD9A79D"/>
      </right>
      <top/>
      <bottom/>
      <diagonal/>
    </border>
    <border>
      <left style="thin">
        <color rgb="FFD9A79D"/>
      </left>
      <right/>
      <top/>
      <bottom style="thin">
        <color rgb="FFD9A79D"/>
      </bottom>
      <diagonal/>
    </border>
    <border>
      <left/>
      <right/>
      <top/>
      <bottom style="thin">
        <color rgb="FFD9A79D"/>
      </bottom>
      <diagonal/>
    </border>
    <border>
      <left/>
      <right style="thin">
        <color rgb="FFD9A79D"/>
      </right>
      <top/>
      <bottom style="thin">
        <color rgb="FFD9A79D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5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64" fontId="4" fillId="0" borderId="3" xfId="0" applyNumberFormat="1" applyFont="1" applyBorder="1" applyAlignment="1">
      <alignment vertical="center"/>
    </xf>
    <xf numFmtId="164" fontId="4" fillId="0" borderId="4" xfId="0" applyNumberFormat="1" applyFont="1" applyBorder="1" applyAlignment="1">
      <alignment vertical="center"/>
    </xf>
    <xf numFmtId="164" fontId="4" fillId="0" borderId="5" xfId="0" applyNumberFormat="1" applyFont="1" applyBorder="1" applyAlignment="1">
      <alignment vertical="center"/>
    </xf>
    <xf numFmtId="3" fontId="4" fillId="0" borderId="3" xfId="0" applyNumberFormat="1" applyFont="1" applyBorder="1" applyAlignment="1">
      <alignment vertical="center"/>
    </xf>
    <xf numFmtId="3" fontId="4" fillId="0" borderId="4" xfId="0" applyNumberFormat="1" applyFont="1" applyBorder="1" applyAlignment="1">
      <alignment vertical="center"/>
    </xf>
    <xf numFmtId="3" fontId="4" fillId="0" borderId="5" xfId="0" applyNumberFormat="1" applyFont="1" applyBorder="1" applyAlignment="1">
      <alignment vertical="center"/>
    </xf>
    <xf numFmtId="165" fontId="4" fillId="0" borderId="3" xfId="0" applyNumberFormat="1" applyFont="1" applyBorder="1" applyAlignment="1">
      <alignment vertical="center"/>
    </xf>
    <xf numFmtId="165" fontId="4" fillId="0" borderId="4" xfId="0" applyNumberFormat="1" applyFont="1" applyBorder="1" applyAlignment="1">
      <alignment vertical="center"/>
    </xf>
    <xf numFmtId="165" fontId="4" fillId="0" borderId="5" xfId="0" applyNumberFormat="1" applyFont="1" applyBorder="1" applyAlignment="1">
      <alignment vertical="center"/>
    </xf>
    <xf numFmtId="166" fontId="4" fillId="0" borderId="3" xfId="0" applyNumberFormat="1" applyFont="1" applyBorder="1" applyAlignment="1">
      <alignment vertical="center"/>
    </xf>
    <xf numFmtId="166" fontId="4" fillId="0" borderId="4" xfId="0" applyNumberFormat="1" applyFont="1" applyBorder="1" applyAlignment="1">
      <alignment vertical="center"/>
    </xf>
    <xf numFmtId="166" fontId="4" fillId="0" borderId="5" xfId="0" applyNumberFormat="1" applyFont="1" applyBorder="1" applyAlignment="1">
      <alignment vertical="center"/>
    </xf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6" borderId="0" xfId="0" applyFont="1" applyFill="1" applyAlignment="1">
      <alignment wrapText="1"/>
    </xf>
    <xf numFmtId="0" fontId="15" fillId="0" borderId="3" xfId="0" applyFont="1" applyBorder="1" applyAlignment="1">
      <alignment vertical="center"/>
    </xf>
    <xf numFmtId="0" fontId="15" fillId="0" borderId="4" xfId="0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2" fontId="4" fillId="0" borderId="4" xfId="0" applyNumberFormat="1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19" fillId="12" borderId="0" xfId="0" applyFont="1" applyFill="1"/>
    <xf numFmtId="0" fontId="1" fillId="2" borderId="0" xfId="0" applyFont="1" applyFill="1" applyAlignment="1">
      <alignment vertical="center"/>
    </xf>
    <xf numFmtId="0" fontId="0" fillId="0" borderId="0" xfId="0"/>
    <xf numFmtId="0" fontId="2" fillId="3" borderId="0" xfId="0" applyFont="1" applyFill="1" applyAlignment="1">
      <alignment vertical="center" wrapText="1"/>
    </xf>
    <xf numFmtId="0" fontId="13" fillId="4" borderId="0" xfId="0" applyFont="1" applyFill="1" applyAlignment="1">
      <alignment horizontal="center" vertical="center"/>
    </xf>
    <xf numFmtId="0" fontId="14" fillId="5" borderId="15" xfId="0" applyFont="1" applyFill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5" borderId="20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16" fillId="11" borderId="0" xfId="0" applyFont="1" applyFill="1" applyAlignment="1">
      <alignment vertical="center"/>
    </xf>
    <xf numFmtId="0" fontId="17" fillId="8" borderId="7" xfId="0" applyFont="1" applyFill="1" applyBorder="1" applyAlignment="1">
      <alignment vertical="top" wrapText="1"/>
    </xf>
    <xf numFmtId="0" fontId="17" fillId="8" borderId="8" xfId="0" applyFont="1" applyFill="1" applyBorder="1" applyAlignment="1">
      <alignment vertical="top" wrapText="1"/>
    </xf>
    <xf numFmtId="0" fontId="17" fillId="8" borderId="9" xfId="0" applyFont="1" applyFill="1" applyBorder="1" applyAlignment="1">
      <alignment vertical="top" wrapText="1"/>
    </xf>
    <xf numFmtId="0" fontId="17" fillId="8" borderId="10" xfId="0" applyFont="1" applyFill="1" applyBorder="1" applyAlignment="1">
      <alignment vertical="top" wrapText="1"/>
    </xf>
    <xf numFmtId="0" fontId="17" fillId="8" borderId="0" xfId="0" applyFont="1" applyFill="1" applyAlignment="1">
      <alignment vertical="top" wrapText="1"/>
    </xf>
    <xf numFmtId="0" fontId="17" fillId="8" borderId="11" xfId="0" applyFont="1" applyFill="1" applyBorder="1" applyAlignment="1">
      <alignment vertical="top" wrapText="1"/>
    </xf>
    <xf numFmtId="0" fontId="17" fillId="8" borderId="12" xfId="0" applyFont="1" applyFill="1" applyBorder="1" applyAlignment="1">
      <alignment vertical="top" wrapText="1"/>
    </xf>
    <xf numFmtId="0" fontId="17" fillId="8" borderId="13" xfId="0" applyFont="1" applyFill="1" applyBorder="1" applyAlignment="1">
      <alignment vertical="top" wrapText="1"/>
    </xf>
    <xf numFmtId="0" fontId="17" fillId="8" borderId="14" xfId="0" applyFont="1" applyFill="1" applyBorder="1" applyAlignment="1">
      <alignment vertical="top" wrapText="1"/>
    </xf>
    <xf numFmtId="0" fontId="10" fillId="8" borderId="7" xfId="0" applyFont="1" applyFill="1" applyBorder="1" applyAlignment="1">
      <alignment vertical="top" wrapText="1"/>
    </xf>
    <xf numFmtId="0" fontId="10" fillId="8" borderId="8" xfId="0" applyFont="1" applyFill="1" applyBorder="1" applyAlignment="1">
      <alignment vertical="top" wrapText="1"/>
    </xf>
    <xf numFmtId="0" fontId="10" fillId="8" borderId="9" xfId="0" applyFont="1" applyFill="1" applyBorder="1" applyAlignment="1">
      <alignment vertical="top" wrapText="1"/>
    </xf>
    <xf numFmtId="0" fontId="10" fillId="8" borderId="10" xfId="0" applyFont="1" applyFill="1" applyBorder="1" applyAlignment="1">
      <alignment vertical="top" wrapText="1"/>
    </xf>
    <xf numFmtId="0" fontId="10" fillId="8" borderId="0" xfId="0" applyFont="1" applyFill="1" applyAlignment="1">
      <alignment vertical="top" wrapText="1"/>
    </xf>
    <xf numFmtId="0" fontId="10" fillId="8" borderId="11" xfId="0" applyFont="1" applyFill="1" applyBorder="1" applyAlignment="1">
      <alignment vertical="top" wrapText="1"/>
    </xf>
    <xf numFmtId="0" fontId="10" fillId="8" borderId="12" xfId="0" applyFont="1" applyFill="1" applyBorder="1" applyAlignment="1">
      <alignment vertical="top" wrapText="1"/>
    </xf>
    <xf numFmtId="0" fontId="10" fillId="8" borderId="13" xfId="0" applyFont="1" applyFill="1" applyBorder="1" applyAlignment="1">
      <alignment vertical="top" wrapText="1"/>
    </xf>
    <xf numFmtId="0" fontId="10" fillId="8" borderId="14" xfId="0" applyFont="1" applyFill="1" applyBorder="1" applyAlignment="1">
      <alignment vertical="top" wrapText="1"/>
    </xf>
    <xf numFmtId="0" fontId="11" fillId="9" borderId="15" xfId="0" applyFont="1" applyFill="1" applyBorder="1" applyAlignment="1">
      <alignment vertical="top" wrapText="1"/>
    </xf>
    <xf numFmtId="0" fontId="11" fillId="9" borderId="16" xfId="0" applyFont="1" applyFill="1" applyBorder="1" applyAlignment="1">
      <alignment vertical="top" wrapText="1"/>
    </xf>
    <xf numFmtId="0" fontId="11" fillId="9" borderId="17" xfId="0" applyFont="1" applyFill="1" applyBorder="1" applyAlignment="1">
      <alignment vertical="top" wrapText="1"/>
    </xf>
    <xf numFmtId="0" fontId="11" fillId="9" borderId="18" xfId="0" applyFont="1" applyFill="1" applyBorder="1" applyAlignment="1">
      <alignment vertical="top" wrapText="1"/>
    </xf>
    <xf numFmtId="0" fontId="11" fillId="9" borderId="0" xfId="0" applyFont="1" applyFill="1" applyAlignment="1">
      <alignment vertical="top" wrapText="1"/>
    </xf>
    <xf numFmtId="0" fontId="11" fillId="9" borderId="19" xfId="0" applyFont="1" applyFill="1" applyBorder="1" applyAlignment="1">
      <alignment vertical="top" wrapText="1"/>
    </xf>
    <xf numFmtId="0" fontId="11" fillId="9" borderId="20" xfId="0" applyFont="1" applyFill="1" applyBorder="1" applyAlignment="1">
      <alignment vertical="top" wrapText="1"/>
    </xf>
    <xf numFmtId="0" fontId="11" fillId="9" borderId="21" xfId="0" applyFont="1" applyFill="1" applyBorder="1" applyAlignment="1">
      <alignment vertical="top" wrapText="1"/>
    </xf>
    <xf numFmtId="0" fontId="11" fillId="9" borderId="22" xfId="0" applyFont="1" applyFill="1" applyBorder="1" applyAlignment="1">
      <alignment vertical="top" wrapText="1"/>
    </xf>
    <xf numFmtId="0" fontId="12" fillId="10" borderId="23" xfId="0" applyFont="1" applyFill="1" applyBorder="1" applyAlignment="1">
      <alignment vertical="center" wrapText="1"/>
    </xf>
    <xf numFmtId="0" fontId="12" fillId="10" borderId="24" xfId="0" applyFont="1" applyFill="1" applyBorder="1" applyAlignment="1">
      <alignment vertical="center" wrapText="1"/>
    </xf>
    <xf numFmtId="0" fontId="12" fillId="10" borderId="25" xfId="0" applyFont="1" applyFill="1" applyBorder="1" applyAlignment="1">
      <alignment vertical="center" wrapText="1"/>
    </xf>
    <xf numFmtId="0" fontId="12" fillId="10" borderId="26" xfId="0" applyFont="1" applyFill="1" applyBorder="1" applyAlignment="1">
      <alignment vertical="center" wrapText="1"/>
    </xf>
    <xf numFmtId="0" fontId="12" fillId="10" borderId="0" xfId="0" applyFont="1" applyFill="1" applyAlignment="1">
      <alignment vertical="center" wrapText="1"/>
    </xf>
    <xf numFmtId="0" fontId="12" fillId="10" borderId="27" xfId="0" applyFont="1" applyFill="1" applyBorder="1" applyAlignment="1">
      <alignment vertical="center" wrapText="1"/>
    </xf>
    <xf numFmtId="0" fontId="12" fillId="10" borderId="28" xfId="0" applyFont="1" applyFill="1" applyBorder="1" applyAlignment="1">
      <alignment vertical="center" wrapText="1"/>
    </xf>
    <xf numFmtId="0" fontId="12" fillId="10" borderId="29" xfId="0" applyFont="1" applyFill="1" applyBorder="1" applyAlignment="1">
      <alignment vertical="center" wrapText="1"/>
    </xf>
    <xf numFmtId="0" fontId="12" fillId="10" borderId="30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9B3328"/>
      </font>
      <fill>
        <patternFill patternType="solid">
          <bgColor rgb="FFF8D9D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Stomatal-complex area by treatment (px²)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stomatal-complex area (px²)</c:v>
          </c:tx>
          <c:invertIfNegative val="1"/>
          <c:cat>
            <c:strRef>
              <c:f>Dashboard!$A$25:$A$26</c:f>
              <c:strCache>
                <c:ptCount val="2"/>
                <c:pt idx="0">
                  <c:v>Watered</c:v>
                </c:pt>
                <c:pt idx="1">
                  <c:v>Drought-stressed</c:v>
                </c:pt>
              </c:strCache>
            </c:strRef>
          </c:cat>
          <c:val>
            <c:numRef>
              <c:f>Dashboard!$B$25:$B$26</c:f>
              <c:numCache>
                <c:formatCode>General</c:formatCode>
                <c:ptCount val="2"/>
                <c:pt idx="0">
                  <c:v>10968.522349239933</c:v>
                </c:pt>
                <c:pt idx="1">
                  <c:v>10211.455252737855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3-0349-9954-F63CCA956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Canopy temperature by treatment (°C, QC pass)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Mean canopy temperature (°C, QC pass)</c:v>
          </c:tx>
          <c:invertIfNegative val="1"/>
          <c:cat>
            <c:strRef>
              <c:f>Dashboard!$E$25:$E$26</c:f>
              <c:strCache>
                <c:ptCount val="2"/>
                <c:pt idx="0">
                  <c:v>Watered</c:v>
                </c:pt>
                <c:pt idx="1">
                  <c:v>Drought-stressed</c:v>
                </c:pt>
              </c:strCache>
            </c:strRef>
          </c:cat>
          <c:val>
            <c:numRef>
              <c:f>Dashboard!$F$25:$F$26</c:f>
              <c:numCache>
                <c:formatCode>General</c:formatCode>
                <c:ptCount val="2"/>
                <c:pt idx="0">
                  <c:v>25.999552273886312</c:v>
                </c:pt>
                <c:pt idx="1">
                  <c:v>25.792459850159769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B-DB49-A180-FA25BD600B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27"/>
          <c:min val="24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Stomatal-complex area by variety and treatment (px²)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Watered mean area</c:v>
          </c:tx>
          <c:invertIfNegative val="1"/>
          <c:cat>
            <c:strRef>
              <c:f>'Variety Comparison'!$AD$26:$AD$41</c:f>
              <c:strCache>
                <c:ptCount val="16"/>
                <c:pt idx="0">
                  <c:v>NC264G</c:v>
                </c:pt>
                <c:pt idx="1">
                  <c:v>25203G</c:v>
                </c:pt>
                <c:pt idx="2">
                  <c:v>25317G</c:v>
                </c:pt>
                <c:pt idx="3">
                  <c:v>26-016</c:v>
                </c:pt>
                <c:pt idx="4">
                  <c:v>26-018</c:v>
                </c:pt>
                <c:pt idx="5">
                  <c:v>25-014</c:v>
                </c:pt>
                <c:pt idx="6">
                  <c:v>25-013</c:v>
                </c:pt>
                <c:pt idx="9">
                  <c:v>Mountain Gem</c:v>
                </c:pt>
                <c:pt idx="10">
                  <c:v>26-037</c:v>
                </c:pt>
                <c:pt idx="11">
                  <c:v>26-033</c:v>
                </c:pt>
                <c:pt idx="12">
                  <c:v>Mountain Girl</c:v>
                </c:pt>
                <c:pt idx="13">
                  <c:v>Ailsa Craig</c:v>
                </c:pt>
                <c:pt idx="14">
                  <c:v>NC261G</c:v>
                </c:pt>
                <c:pt idx="15">
                  <c:v>Mountain Heritage</c:v>
                </c:pt>
              </c:strCache>
            </c:strRef>
          </c:cat>
          <c:val>
            <c:numRef>
              <c:f>'Variety Comparison'!$AE$26:$AE$41</c:f>
              <c:numCache>
                <c:formatCode>General</c:formatCode>
                <c:ptCount val="16"/>
                <c:pt idx="0">
                  <c:v>5641.2696517929435</c:v>
                </c:pt>
                <c:pt idx="1">
                  <c:v>13435.520220736662</c:v>
                </c:pt>
                <c:pt idx="2">
                  <c:v>10477.076933714328</c:v>
                </c:pt>
                <c:pt idx="3">
                  <c:v>12299.127460382879</c:v>
                </c:pt>
                <c:pt idx="4">
                  <c:v>11856.759673804045</c:v>
                </c:pt>
                <c:pt idx="5">
                  <c:v>9363.3859320630636</c:v>
                </c:pt>
                <c:pt idx="6">
                  <c:v>6752.6597863786546</c:v>
                </c:pt>
                <c:pt idx="7">
                  <c:v>14992.607986792922</c:v>
                </c:pt>
                <c:pt idx="8">
                  <c:v>13669.80415498217</c:v>
                </c:pt>
                <c:pt idx="9">
                  <c:v>10004.817087389529</c:v>
                </c:pt>
                <c:pt idx="10">
                  <c:v>10268.51840172708</c:v>
                </c:pt>
                <c:pt idx="11">
                  <c:v>8891.908637970686</c:v>
                </c:pt>
                <c:pt idx="12">
                  <c:v>11072.469651607797</c:v>
                </c:pt>
                <c:pt idx="13">
                  <c:v>11373.528651468456</c:v>
                </c:pt>
                <c:pt idx="14">
                  <c:v>14027.556064224491</c:v>
                </c:pt>
                <c:pt idx="15">
                  <c:v>11369.347292803228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1-B94A-9651-5FC01A90BEEB}"/>
            </c:ext>
          </c:extLst>
        </c:ser>
        <c:ser>
          <c:idx val="1"/>
          <c:order val="1"/>
          <c:tx>
            <c:v>Drought-stressed mean area</c:v>
          </c:tx>
          <c:invertIfNegative val="1"/>
          <c:cat>
            <c:strRef>
              <c:f>'Variety Comparison'!$AD$26:$AD$41</c:f>
              <c:strCache>
                <c:ptCount val="16"/>
                <c:pt idx="0">
                  <c:v>NC264G</c:v>
                </c:pt>
                <c:pt idx="1">
                  <c:v>25203G</c:v>
                </c:pt>
                <c:pt idx="2">
                  <c:v>25317G</c:v>
                </c:pt>
                <c:pt idx="3">
                  <c:v>26-016</c:v>
                </c:pt>
                <c:pt idx="4">
                  <c:v>26-018</c:v>
                </c:pt>
                <c:pt idx="5">
                  <c:v>25-014</c:v>
                </c:pt>
                <c:pt idx="6">
                  <c:v>25-013</c:v>
                </c:pt>
                <c:pt idx="9">
                  <c:v>Mountain Gem</c:v>
                </c:pt>
                <c:pt idx="10">
                  <c:v>26-037</c:v>
                </c:pt>
                <c:pt idx="11">
                  <c:v>26-033</c:v>
                </c:pt>
                <c:pt idx="12">
                  <c:v>Mountain Girl</c:v>
                </c:pt>
                <c:pt idx="13">
                  <c:v>Ailsa Craig</c:v>
                </c:pt>
                <c:pt idx="14">
                  <c:v>NC261G</c:v>
                </c:pt>
                <c:pt idx="15">
                  <c:v>Mountain Heritage</c:v>
                </c:pt>
              </c:strCache>
            </c:strRef>
          </c:cat>
          <c:val>
            <c:numRef>
              <c:f>'Variety Comparison'!$AF$26:$AF$41</c:f>
              <c:numCache>
                <c:formatCode>General</c:formatCode>
                <c:ptCount val="16"/>
                <c:pt idx="0">
                  <c:v>7280.0297945216298</c:v>
                </c:pt>
                <c:pt idx="1">
                  <c:v>9400.881662572423</c:v>
                </c:pt>
                <c:pt idx="2">
                  <c:v>8927.5513094297294</c:v>
                </c:pt>
                <c:pt idx="3">
                  <c:v>11187.912456390759</c:v>
                </c:pt>
                <c:pt idx="4">
                  <c:v>9229.5131443962455</c:v>
                </c:pt>
                <c:pt idx="5">
                  <c:v>6655.8525158055127</c:v>
                </c:pt>
                <c:pt idx="6">
                  <c:v>11382.915868914375</c:v>
                </c:pt>
                <c:pt idx="7">
                  <c:v>10230.201212704182</c:v>
                </c:pt>
                <c:pt idx="8">
                  <c:v>11651.688354227692</c:v>
                </c:pt>
                <c:pt idx="9">
                  <c:v>9574.0217822790146</c:v>
                </c:pt>
                <c:pt idx="10">
                  <c:v>17451.377138540149</c:v>
                </c:pt>
                <c:pt idx="11">
                  <c:v>12848.641767506799</c:v>
                </c:pt>
                <c:pt idx="12">
                  <c:v>9860.2547115435209</c:v>
                </c:pt>
                <c:pt idx="13">
                  <c:v>7561.3912971119089</c:v>
                </c:pt>
                <c:pt idx="14">
                  <c:v>6918.0359421297908</c:v>
                </c:pt>
                <c:pt idx="15">
                  <c:v>13223.015085731944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B1-B94A-9651-5FC01A90B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Canopy temperature by variety and source treatment code (°C)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Control</c:v>
          </c:tx>
          <c:invertIfNegative val="1"/>
          <c:cat>
            <c:strRef>
              <c:f>'Thermal Findings &amp; QC'!$U$80:$U$95</c:f>
              <c:strCache>
                <c:ptCount val="16"/>
                <c:pt idx="0">
                  <c:v>NC264G</c:v>
                </c:pt>
                <c:pt idx="1">
                  <c:v>MountainGem</c:v>
                </c:pt>
                <c:pt idx="2">
                  <c:v>NC261G</c:v>
                </c:pt>
                <c:pt idx="3">
                  <c:v>26-037</c:v>
                </c:pt>
                <c:pt idx="4">
                  <c:v>MountainGirl</c:v>
                </c:pt>
                <c:pt idx="5">
                  <c:v>MountainHeritage</c:v>
                </c:pt>
                <c:pt idx="6">
                  <c:v>25-013</c:v>
                </c:pt>
                <c:pt idx="7">
                  <c:v>25317G</c:v>
                </c:pt>
                <c:pt idx="8">
                  <c:v>25-014</c:v>
                </c:pt>
                <c:pt idx="9">
                  <c:v>AlisaCraig</c:v>
                </c:pt>
                <c:pt idx="10">
                  <c:v>25-12</c:v>
                </c:pt>
                <c:pt idx="11">
                  <c:v>26-016</c:v>
                </c:pt>
                <c:pt idx="12">
                  <c:v>26-018</c:v>
                </c:pt>
                <c:pt idx="13">
                  <c:v>CherokeePurple</c:v>
                </c:pt>
                <c:pt idx="14">
                  <c:v>26-033</c:v>
                </c:pt>
                <c:pt idx="15">
                  <c:v>25203G</c:v>
                </c:pt>
              </c:strCache>
            </c:strRef>
          </c:cat>
          <c:val>
            <c:numRef>
              <c:f>'Thermal Findings &amp; QC'!$V$80:$V$95</c:f>
              <c:numCache>
                <c:formatCode>General</c:formatCode>
                <c:ptCount val="16"/>
                <c:pt idx="0">
                  <c:v>25.538009799131377</c:v>
                </c:pt>
                <c:pt idx="1">
                  <c:v>26.069174707918492</c:v>
                </c:pt>
                <c:pt idx="2">
                  <c:v>26.006031550721943</c:v>
                </c:pt>
                <c:pt idx="3">
                  <c:v>25.886769921969321</c:v>
                </c:pt>
                <c:pt idx="4">
                  <c:v>26.084708024553429</c:v>
                </c:pt>
                <c:pt idx="5">
                  <c:v>25.357424449202732</c:v>
                </c:pt>
                <c:pt idx="6">
                  <c:v>26.247659986897322</c:v>
                </c:pt>
                <c:pt idx="7">
                  <c:v>26.180443419545441</c:v>
                </c:pt>
                <c:pt idx="8">
                  <c:v>26.297341671872658</c:v>
                </c:pt>
                <c:pt idx="9">
                  <c:v>26.136908324035144</c:v>
                </c:pt>
                <c:pt idx="10">
                  <c:v>25.613818976311848</c:v>
                </c:pt>
                <c:pt idx="11">
                  <c:v>25.035619074755193</c:v>
                </c:pt>
                <c:pt idx="12">
                  <c:v>25.710670969367825</c:v>
                </c:pt>
                <c:pt idx="13">
                  <c:v>25.671059665781858</c:v>
                </c:pt>
                <c:pt idx="14">
                  <c:v>24.082171387903266</c:v>
                </c:pt>
                <c:pt idx="15">
                  <c:v>25.05125721033199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2B-7B41-8C75-0120068E6EF1}"/>
            </c:ext>
          </c:extLst>
        </c:ser>
        <c:ser>
          <c:idx val="1"/>
          <c:order val="1"/>
          <c:tx>
            <c:v>Regular</c:v>
          </c:tx>
          <c:invertIfNegative val="1"/>
          <c:cat>
            <c:strRef>
              <c:f>'Thermal Findings &amp; QC'!$U$80:$U$95</c:f>
              <c:strCache>
                <c:ptCount val="16"/>
                <c:pt idx="0">
                  <c:v>NC264G</c:v>
                </c:pt>
                <c:pt idx="1">
                  <c:v>MountainGem</c:v>
                </c:pt>
                <c:pt idx="2">
                  <c:v>NC261G</c:v>
                </c:pt>
                <c:pt idx="3">
                  <c:v>26-037</c:v>
                </c:pt>
                <c:pt idx="4">
                  <c:v>MountainGirl</c:v>
                </c:pt>
                <c:pt idx="5">
                  <c:v>MountainHeritage</c:v>
                </c:pt>
                <c:pt idx="6">
                  <c:v>25-013</c:v>
                </c:pt>
                <c:pt idx="7">
                  <c:v>25317G</c:v>
                </c:pt>
                <c:pt idx="8">
                  <c:v>25-014</c:v>
                </c:pt>
                <c:pt idx="9">
                  <c:v>AlisaCraig</c:v>
                </c:pt>
                <c:pt idx="10">
                  <c:v>25-12</c:v>
                </c:pt>
                <c:pt idx="11">
                  <c:v>26-016</c:v>
                </c:pt>
                <c:pt idx="12">
                  <c:v>26-018</c:v>
                </c:pt>
                <c:pt idx="13">
                  <c:v>CherokeePurple</c:v>
                </c:pt>
                <c:pt idx="14">
                  <c:v>26-033</c:v>
                </c:pt>
                <c:pt idx="15">
                  <c:v>25203G</c:v>
                </c:pt>
              </c:strCache>
            </c:strRef>
          </c:cat>
          <c:val>
            <c:numRef>
              <c:f>'Thermal Findings &amp; QC'!$W$80:$W$95</c:f>
              <c:numCache>
                <c:formatCode>General</c:formatCode>
                <c:ptCount val="16"/>
                <c:pt idx="0">
                  <c:v>23.446142850544295</c:v>
                </c:pt>
                <c:pt idx="1">
                  <c:v>25.71048394974644</c:v>
                </c:pt>
                <c:pt idx="2">
                  <c:v>25.749493013431067</c:v>
                </c:pt>
                <c:pt idx="3">
                  <c:v>25.773783262747813</c:v>
                </c:pt>
                <c:pt idx="4">
                  <c:v>26.066198888022619</c:v>
                </c:pt>
                <c:pt idx="5">
                  <c:v>25.343925762752558</c:v>
                </c:pt>
                <c:pt idx="6">
                  <c:v>26.235427036682271</c:v>
                </c:pt>
                <c:pt idx="7">
                  <c:v>26.232168738435153</c:v>
                </c:pt>
                <c:pt idx="8">
                  <c:v>26.382624366778391</c:v>
                </c:pt>
                <c:pt idx="9">
                  <c:v>26.308308604431787</c:v>
                </c:pt>
                <c:pt idx="10">
                  <c:v>25.867037632293229</c:v>
                </c:pt>
                <c:pt idx="11">
                  <c:v>25.370568224584765</c:v>
                </c:pt>
                <c:pt idx="12">
                  <c:v>26.582684310236822</c:v>
                </c:pt>
                <c:pt idx="13">
                  <c:v>26.771506846634633</c:v>
                </c:pt>
                <c:pt idx="14">
                  <c:v>25.271365666971679</c:v>
                </c:pt>
                <c:pt idx="15">
                  <c:v>26.327707804545422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2B-7B41-8C75-0120068E6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7</xdr:col>
      <xdr:colOff>0</xdr:colOff>
      <xdr:row>38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0</xdr:colOff>
      <xdr:row>3</xdr:row>
      <xdr:rowOff>0</xdr:rowOff>
    </xdr:from>
    <xdr:to>
      <xdr:col>39</xdr:col>
      <xdr:colOff>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78</xdr:row>
      <xdr:rowOff>0</xdr:rowOff>
    </xdr:from>
    <xdr:to>
      <xdr:col>19</xdr:col>
      <xdr:colOff>0</xdr:colOff>
      <xdr:row>97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tegratedPlantsTable" displayName="IntegratedPlantsTable" ref="A9:AN41" totalsRowShown="0">
  <autoFilter ref="A9:AN41" xr:uid="{00000000-0009-0000-0100-000001000000}"/>
  <tableColumns count="40">
    <tableColumn id="1" xr3:uid="{00000000-0010-0000-0000-000001000000}" name="study_id"/>
    <tableColumn id="2" xr3:uid="{00000000-0010-0000-0000-000002000000}" name="genotype_id"/>
    <tableColumn id="3" xr3:uid="{00000000-0010-0000-0000-000003000000}" name="plant_unit_id"/>
    <tableColumn id="4" xr3:uid="{00000000-0010-0000-0000-000004000000}" name="variety"/>
    <tableColumn id="5" xr3:uid="{00000000-0010-0000-0000-000005000000}" name="variety_class"/>
    <tableColumn id="6" xr3:uid="{00000000-0010-0000-0000-000006000000}" name="treatment_code"/>
    <tableColumn id="7" xr3:uid="{00000000-0010-0000-0000-000007000000}" name="water_status"/>
    <tableColumn id="8" xr3:uid="{00000000-0010-0000-0000-000008000000}" name="water_ml"/>
    <tableColumn id="9" xr3:uid="{00000000-0010-0000-0000-000009000000}" name="stomata_image"/>
    <tableColumn id="10" xr3:uid="{00000000-0010-0000-0000-00000A000000}" name="stomata_photo_serial"/>
    <tableColumn id="12" xr3:uid="{00000000-0010-0000-0000-00000C000000}" name="thermal_session_id"/>
    <tableColumn id="13" xr3:uid="{00000000-0010-0000-0000-00000D000000}" name="thermal_session_plant_id"/>
    <tableColumn id="14" xr3:uid="{00000000-0010-0000-0000-00000E000000}" name="thermal_source_file"/>
    <tableColumn id="15" xr3:uid="{00000000-0010-0000-0000-00000F000000}" name="thermal_capture_time"/>
    <tableColumn id="16" xr3:uid="{00000000-0010-0000-0000-000010000000}" name="canopy_mean_c"/>
    <tableColumn id="17" xr3:uid="{00000000-0010-0000-0000-000011000000}" name="canopy_median_c"/>
    <tableColumn id="18" xr3:uid="{00000000-0010-0000-0000-000012000000}" name="canopy_min_c"/>
    <tableColumn id="19" xr3:uid="{00000000-0010-0000-0000-000013000000}" name="canopy_max_c"/>
    <tableColumn id="20" xr3:uid="{00000000-0010-0000-0000-000014000000}" name="canopy_std_c"/>
    <tableColumn id="21" xr3:uid="{00000000-0010-0000-0000-000015000000}" name="canopy_p10_c"/>
    <tableColumn id="22" xr3:uid="{00000000-0010-0000-0000-000016000000}" name="canopy_p90_c"/>
    <tableColumn id="23" xr3:uid="{00000000-0010-0000-0000-000017000000}" name="canopy_delta_t_air_c"/>
    <tableColumn id="24" xr3:uid="{00000000-0010-0000-0000-000018000000}" name="projected_plant_area_px2"/>
    <tableColumn id="25" xr3:uid="{00000000-0010-0000-0000-000019000000}" name="projected_plant_area_fraction"/>
    <tableColumn id="26" xr3:uid="{00000000-0010-0000-0000-00001A000000}" name="thermal_mask_qc_passed"/>
    <tableColumn id="27" xr3:uid="{00000000-0010-0000-0000-00001B000000}" name="thermal_mask_qc_flag"/>
    <tableColumn id="29" xr3:uid="{00000000-0010-0000-0000-00001D000000}" name="stomata_candidates_total"/>
    <tableColumn id="30" xr3:uid="{00000000-0010-0000-0000-00001E000000}" name="stomata_candidates_accepted"/>
    <tableColumn id="31" xr3:uid="{00000000-0010-0000-0000-00001F000000}" name="stomata_candidates_review"/>
    <tableColumn id="32" xr3:uid="{00000000-0010-0000-0000-000020000000}" name="stomata_candidates_rejected"/>
    <tableColumn id="33" xr3:uid="{00000000-0010-0000-0000-000021000000}" name="stomata_expected_true_candidates"/>
    <tableColumn id="34" xr3:uid="{00000000-0010-0000-0000-000022000000}" name="expert_stomata_objects_total"/>
    <tableColumn id="35" xr3:uid="{00000000-0010-0000-0000-000023000000}" name="stomata_objects_measured"/>
    <tableColumn id="36" xr3:uid="{00000000-0010-0000-0000-000024000000}" name="stomata_measurement_coverage_fraction"/>
    <tableColumn id="37" xr3:uid="{00000000-0010-0000-0000-000025000000}" name="stomatal_complex_area_unit"/>
    <tableColumn id="38" xr3:uid="{00000000-0010-0000-0000-000026000000}" name="stomatal_complex_area_mean"/>
    <tableColumn id="39" xr3:uid="{00000000-0010-0000-0000-000027000000}" name="stomatal_complex_area_median"/>
    <tableColumn id="40" xr3:uid="{00000000-0010-0000-0000-000028000000}" name="stomatal_complex_area_sd"/>
    <tableColumn id="41" xr3:uid="{00000000-0010-0000-0000-000029000000}" name="stomatal_complex_area_q25"/>
    <tableColumn id="42" xr3:uid="{00000000-0010-0000-0000-00002A000000}" name="stomatal_complex_area_q7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omatalMeasurementsTable" displayName="StomatalMeasurementsTable" ref="A8:AE93" totalsRowShown="0">
  <autoFilter ref="A8:AE93" xr:uid="{00000000-0009-0000-0100-000002000000}"/>
  <tableColumns count="31">
    <tableColumn id="1" xr3:uid="{00000000-0010-0000-0100-000001000000}" name="object_id"/>
    <tableColumn id="2" xr3:uid="{00000000-0010-0000-0100-000002000000}" name="stomata_image"/>
    <tableColumn id="3" xr3:uid="{00000000-0010-0000-0100-000003000000}" name="filename"/>
    <tableColumn id="7" xr3:uid="{00000000-0010-0000-0100-000007000000}" name="variety"/>
    <tableColumn id="8" xr3:uid="{00000000-0010-0000-0100-000008000000}" name="water_status"/>
    <tableColumn id="9" xr3:uid="{00000000-0010-0000-0100-000009000000}" name="water_ml"/>
    <tableColumn id="11" xr3:uid="{00000000-0010-0000-0100-00000B000000}" name="quality_rank_among_all_expert_boxes"/>
    <tableColumn id="12" xr3:uid="{00000000-0010-0000-0100-00000C000000}" name="selected_rank_among_completed_masks"/>
    <tableColumn id="13" xr3:uid="{00000000-0010-0000-0100-00000D000000}" name="local_quality_score"/>
    <tableColumn id="14" xr3:uid="{00000000-0010-0000-0100-00000E000000}" name="local_focus_score"/>
    <tableColumn id="15" xr3:uid="{00000000-0010-0000-0100-00000F000000}" name="local_contrast_5_95"/>
    <tableColumn id="16" xr3:uid="{00000000-0010-0000-0100-000010000000}" name="local_clipped_fraction"/>
    <tableColumn id="17" xr3:uid="{00000000-0010-0000-0100-000011000000}" name="edge_margin_px"/>
    <tableColumn id="18" xr3:uid="{00000000-0010-0000-0100-000012000000}" name="complex_length_px"/>
    <tableColumn id="19" xr3:uid="{00000000-0010-0000-0100-000013000000}" name="complex_width_px"/>
    <tableColumn id="20" xr3:uid="{00000000-0010-0000-0100-000014000000}" name="complex_area_px2"/>
    <tableColumn id="21" xr3:uid="{00000000-0010-0000-0100-000015000000}" name="complex_perimeter_px"/>
    <tableColumn id="22" xr3:uid="{00000000-0010-0000-0100-000016000000}" name="complex_aspect_ratio"/>
    <tableColumn id="23" xr3:uid="{00000000-0010-0000-0100-000017000000}" name="complex_eccentricity"/>
    <tableColumn id="24" xr3:uid="{00000000-0010-0000-0100-000018000000}" name="complex_solidity"/>
    <tableColumn id="25" xr3:uid="{00000000-0010-0000-0100-000019000000}" name="orientation_deg"/>
    <tableColumn id="26" xr3:uid="{00000000-0010-0000-0100-00001A000000}" name="complex_convex_area_px2"/>
    <tableColumn id="27" xr3:uid="{00000000-0010-0000-0100-00001B000000}" name="complex_equivalent_diameter_px"/>
    <tableColumn id="28" xr3:uid="{00000000-0010-0000-0100-00001C000000}" name="complex_circularity"/>
    <tableColumn id="29" xr3:uid="{00000000-0010-0000-0100-00001D000000}" name="complex_centroid_x_px"/>
    <tableColumn id="30" xr3:uid="{00000000-0010-0000-0100-00001E000000}" name="complex_centroid_y_px"/>
    <tableColumn id="31" xr3:uid="{00000000-0010-0000-0100-00001F000000}" name="area_unit"/>
    <tableColumn id="32" xr3:uid="{00000000-0010-0000-0100-000020000000}" name="length_unit"/>
    <tableColumn id="34" xr3:uid="{00000000-0010-0000-0100-000022000000}" name="decision_status"/>
    <tableColumn id="35" xr3:uid="{00000000-0010-0000-0100-000023000000}" name="measurement_quality_passed"/>
    <tableColumn id="41" xr3:uid="{00000000-0010-0000-0100-000029000000}" name="polygon_j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arietyComparisonTable" displayName="VarietyComparisonTable" ref="A4:AB20" totalsRowShown="0">
  <autoFilter ref="A4:AB20" xr:uid="{00000000-0009-0000-0100-000003000000}"/>
  <tableColumns count="28">
    <tableColumn id="2" xr3:uid="{00000000-0010-0000-0200-000002000000}" name="variety"/>
    <tableColumn id="3" xr3:uid="{00000000-0010-0000-0200-000003000000}" name="watered_plant_unit_id"/>
    <tableColumn id="4" xr3:uid="{00000000-0010-0000-0200-000004000000}" name="drought_plant_unit_id"/>
    <tableColumn id="5" xr3:uid="{00000000-0010-0000-0200-000005000000}" name="watered_mean_area"/>
    <tableColumn id="6" xr3:uid="{00000000-0010-0000-0200-000006000000}" name="drought_mean_area"/>
    <tableColumn id="7" xr3:uid="{00000000-0010-0000-0200-000007000000}" name="descriptive_mean_area"/>
    <tableColumn id="8" xr3:uid="{00000000-0010-0000-0200-000008000000}" name="difference_drought_minus_watered"/>
    <tableColumn id="9" xr3:uid="{00000000-0010-0000-0200-000009000000}" name="watered_n_stomata"/>
    <tableColumn id="10" xr3:uid="{00000000-0010-0000-0200-00000A000000}" name="drought_n_stomata"/>
    <tableColumn id="11" xr3:uid="{00000000-0010-0000-0200-00000B000000}" name="complete_pair"/>
    <tableColumn id="12" xr3:uid="{00000000-0010-0000-0200-00000C000000}" name="area_unit"/>
    <tableColumn id="13" xr3:uid="{00000000-0010-0000-0200-00000D000000}" name="watered_canopy_mean_c"/>
    <tableColumn id="14" xr3:uid="{00000000-0010-0000-0200-00000E000000}" name="drought_canopy_mean_c"/>
    <tableColumn id="15" xr3:uid="{00000000-0010-0000-0200-00000F000000}" name="difference_drought_minus_watered_canopy_mean_c"/>
    <tableColumn id="16" xr3:uid="{00000000-0010-0000-0200-000010000000}" name="watered_canopy_delta_t_air_c"/>
    <tableColumn id="17" xr3:uid="{00000000-0010-0000-0200-000011000000}" name="drought_canopy_delta_t_air_c"/>
    <tableColumn id="18" xr3:uid="{00000000-0010-0000-0200-000012000000}" name="difference_drought_minus_watered_canopy_delta_t_air_c"/>
    <tableColumn id="19" xr3:uid="{00000000-0010-0000-0200-000013000000}" name="watered_projected_plant_area_px2"/>
    <tableColumn id="20" xr3:uid="{00000000-0010-0000-0200-000014000000}" name="drought_projected_plant_area_px2"/>
    <tableColumn id="21" xr3:uid="{00000000-0010-0000-0200-000015000000}" name="difference_drought_minus_watered_projected_plant_area_px2"/>
    <tableColumn id="22" xr3:uid="{00000000-0010-0000-0200-000016000000}" name="watered_projected_plant_area_fraction"/>
    <tableColumn id="23" xr3:uid="{00000000-0010-0000-0200-000017000000}" name="drought_projected_plant_area_fraction"/>
    <tableColumn id="24" xr3:uid="{00000000-0010-0000-0200-000018000000}" name="difference_drought_minus_watered_projected_plant_area_fraction"/>
    <tableColumn id="25" xr3:uid="{00000000-0010-0000-0200-000019000000}" name="watered_thermal_mask_qc_passed"/>
    <tableColumn id="26" xr3:uid="{00000000-0010-0000-0200-00001A000000}" name="drought_thermal_mask_qc_passed"/>
    <tableColumn id="27" xr3:uid="{00000000-0010-0000-0200-00001B000000}" name="qc_pair"/>
    <tableColumn id="28" xr3:uid="{00000000-0010-0000-0200-00001C000000}" name="qc_canopy_diff_c"/>
    <tableColumn id="29" xr3:uid="{00000000-0010-0000-0200-00001D000000}" name="qc_projected_area_diff_px2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ourceTreatmentSummaryTable" displayName="SourceTreatmentSummaryTable" ref="A28:L30" totalsRowShown="0">
  <autoFilter ref="A28:L30" xr:uid="{00000000-0009-0000-0100-000004000000}"/>
  <tableColumns count="12">
    <tableColumn id="1" xr3:uid="{00000000-0010-0000-0300-000001000000}" name="water_status"/>
    <tableColumn id="2" xr3:uid="{00000000-0010-0000-0300-000002000000}" name="n_plants"/>
    <tableColumn id="3" xr3:uid="{00000000-0010-0000-0300-000003000000}" name="n_stomata"/>
    <tableColumn id="4" xr3:uid="{00000000-0010-0000-0300-000004000000}" name="mean_of_plant_mean_area"/>
    <tableColumn id="5" xr3:uid="{00000000-0010-0000-0300-000005000000}" name="median_of_plant_mean_area"/>
    <tableColumn id="6" xr3:uid="{00000000-0010-0000-0300-000006000000}" name="sd_of_plant_mean_area"/>
    <tableColumn id="7" xr3:uid="{00000000-0010-0000-0300-000007000000}" name="area_unit"/>
    <tableColumn id="8" xr3:uid="{00000000-0010-0000-0300-000008000000}" name="n_thermal_plants_qc_passed"/>
    <tableColumn id="9" xr3:uid="{00000000-0010-0000-0300-000009000000}" name="mean_canopy_mean_c_qc_passed"/>
    <tableColumn id="10" xr3:uid="{00000000-0010-0000-0300-00000A000000}" name="mean_canopy_delta_t_air_c_qc_passed"/>
    <tableColumn id="11" xr3:uid="{00000000-0010-0000-0300-00000B000000}" name="mean_projected_plant_area_px2_qc_passed"/>
    <tableColumn id="12" xr3:uid="{00000000-0010-0000-0300-00000C000000}" name="mean_projected_plant_area_fraction_qc_passed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hermalObservationTable" displayName="ThermalObservationTable" ref="A10:S74" totalsRowShown="0">
  <autoFilter ref="A10:S74" xr:uid="{00000000-0009-0000-0100-000005000000}"/>
  <tableColumns count="19">
    <tableColumn id="1" xr3:uid="{00000000-0010-0000-0400-000001000000}" name="session_id"/>
    <tableColumn id="2" xr3:uid="{00000000-0010-0000-0400-000002000000}" name="plant_id"/>
    <tableColumn id="3" xr3:uid="{00000000-0010-0000-0400-000003000000}" name="variety"/>
    <tableColumn id="4" xr3:uid="{00000000-0010-0000-0400-000004000000}" name="treatment"/>
    <tableColumn id="5" xr3:uid="{00000000-0010-0000-0400-000005000000}" name="group_type"/>
    <tableColumn id="6" xr3:uid="{00000000-0010-0000-0400-000006000000}" name="source_file"/>
    <tableColumn id="7" xr3:uid="{00000000-0010-0000-0400-000007000000}" name="capture_time"/>
    <tableColumn id="8" xr3:uid="{00000000-0010-0000-0400-000008000000}" name="mean_c"/>
    <tableColumn id="9" xr3:uid="{00000000-0010-0000-0400-000009000000}" name="median_c"/>
    <tableColumn id="10" xr3:uid="{00000000-0010-0000-0400-00000A000000}" name="min_c"/>
    <tableColumn id="11" xr3:uid="{00000000-0010-0000-0400-00000B000000}" name="max_c"/>
    <tableColumn id="12" xr3:uid="{00000000-0010-0000-0400-00000C000000}" name="std_c"/>
    <tableColumn id="13" xr3:uid="{00000000-0010-0000-0400-00000D000000}" name="p10_c"/>
    <tableColumn id="14" xr3:uid="{00000000-0010-0000-0400-00000E000000}" name="p90_c"/>
    <tableColumn id="15" xr3:uid="{00000000-0010-0000-0400-00000F000000}" name="mtd_c"/>
    <tableColumn id="16" xr3:uid="{00000000-0010-0000-0400-000010000000}" name="pixel_count"/>
    <tableColumn id="17" xr3:uid="{00000000-0010-0000-0400-000011000000}" name="delta_t_air"/>
    <tableColumn id="18" xr3:uid="{00000000-0010-0000-0400-000012000000}" name="roi_type"/>
    <tableColumn id="19" xr3:uid="{00000000-0010-0000-0400-000013000000}" name="session_dat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ermalTreatmentDifferenceTable" displayName="ThermalTreatmentDifferenceTable" ref="A79:E95" totalsRowShown="0">
  <autoFilter ref="A79:E95" xr:uid="{00000000-0009-0000-0100-000006000000}"/>
  <tableColumns count="5">
    <tableColumn id="1" xr3:uid="{00000000-0010-0000-0500-000001000000}" name="variety"/>
    <tableColumn id="2" xr3:uid="{00000000-0010-0000-0500-000002000000}" name="group_type"/>
    <tableColumn id="3" xr3:uid="{00000000-0010-0000-0500-000003000000}" name="Control"/>
    <tableColumn id="4" xr3:uid="{00000000-0010-0000-0500-000004000000}" name="Regular"/>
    <tableColumn id="5" xr3:uid="{00000000-0010-0000-0500-000005000000}" name="diff_C_minus_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showGridLines="0" tabSelected="1" workbookViewId="0">
      <selection activeCell="C20" sqref="C20"/>
    </sheetView>
  </sheetViews>
  <sheetFormatPr baseColWidth="10" defaultColWidth="8.83203125" defaultRowHeight="14"/>
  <cols>
    <col min="1" max="1" width="22" customWidth="1"/>
    <col min="2" max="2" width="20" customWidth="1"/>
    <col min="3" max="3" width="52.5" customWidth="1"/>
    <col min="4" max="4" width="21.5" customWidth="1"/>
    <col min="5" max="5" width="3" customWidth="1"/>
    <col min="6" max="14" width="12" customWidth="1"/>
  </cols>
  <sheetData>
    <row r="1" spans="1:14" ht="28" customHeight="1">
      <c r="A1" s="36" t="s">
        <v>667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</row>
    <row r="2" spans="1:14" ht="12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1:14" ht="34" customHeight="1">
      <c r="A3" s="38" t="s">
        <v>671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</row>
    <row r="5" spans="1:14">
      <c r="A5" s="39" t="s">
        <v>0</v>
      </c>
      <c r="B5" s="39"/>
      <c r="C5" s="39"/>
      <c r="D5" s="39" t="s">
        <v>1</v>
      </c>
      <c r="E5" s="39"/>
      <c r="F5" s="39"/>
      <c r="G5" s="39" t="s">
        <v>2</v>
      </c>
      <c r="H5" s="39"/>
      <c r="I5" s="39"/>
      <c r="J5" s="39" t="s">
        <v>3</v>
      </c>
      <c r="K5" s="39"/>
      <c r="L5" s="39"/>
    </row>
    <row r="6" spans="1:14">
      <c r="A6" s="40">
        <f>'Integrated Plants'!B5</f>
        <v>32</v>
      </c>
      <c r="B6" s="41"/>
      <c r="C6" s="42"/>
      <c r="D6" s="40">
        <f>'Integrated Plants'!B6</f>
        <v>1</v>
      </c>
      <c r="E6" s="41"/>
      <c r="F6" s="42"/>
      <c r="G6" s="40">
        <f>'Treatment Comparison'!B5</f>
        <v>85</v>
      </c>
      <c r="H6" s="41"/>
      <c r="I6" s="42"/>
      <c r="J6" s="40">
        <f>'Thermal Findings &amp; QC'!B5</f>
        <v>30</v>
      </c>
      <c r="K6" s="41"/>
      <c r="L6" s="42"/>
    </row>
    <row r="7" spans="1:14">
      <c r="A7" s="43"/>
      <c r="B7" s="44"/>
      <c r="C7" s="45"/>
      <c r="D7" s="43"/>
      <c r="E7" s="44"/>
      <c r="F7" s="45"/>
      <c r="G7" s="43"/>
      <c r="H7" s="44"/>
      <c r="I7" s="45"/>
      <c r="J7" s="43"/>
      <c r="K7" s="44"/>
      <c r="L7" s="45"/>
    </row>
    <row r="9" spans="1:14" ht="23" customHeight="1">
      <c r="A9" s="46" t="s">
        <v>4</v>
      </c>
      <c r="B9" s="46" t="s">
        <v>4</v>
      </c>
      <c r="C9" s="46" t="s">
        <v>4</v>
      </c>
      <c r="D9" s="46" t="s">
        <v>4</v>
      </c>
      <c r="E9" s="46" t="s">
        <v>4</v>
      </c>
      <c r="F9" s="46" t="s">
        <v>4</v>
      </c>
      <c r="G9" s="46" t="s">
        <v>4</v>
      </c>
      <c r="H9" s="46" t="s">
        <v>4</v>
      </c>
      <c r="I9" s="46" t="s">
        <v>4</v>
      </c>
      <c r="J9" s="46" t="s">
        <v>4</v>
      </c>
      <c r="K9" s="46" t="s">
        <v>4</v>
      </c>
      <c r="L9" s="46" t="s">
        <v>4</v>
      </c>
      <c r="M9" s="46" t="s">
        <v>4</v>
      </c>
      <c r="N9" s="46" t="s">
        <v>4</v>
      </c>
    </row>
    <row r="10" spans="1:14" ht="35" customHeight="1">
      <c r="A10" s="1" t="s">
        <v>5</v>
      </c>
      <c r="B10" s="6" t="s">
        <v>6</v>
      </c>
      <c r="C10" s="6" t="s">
        <v>7</v>
      </c>
      <c r="D10" s="2" t="s">
        <v>8</v>
      </c>
      <c r="F10" s="47" t="s">
        <v>670</v>
      </c>
      <c r="G10" s="47"/>
      <c r="H10" s="47"/>
      <c r="I10" s="47"/>
      <c r="J10" s="47"/>
      <c r="K10" s="47"/>
      <c r="L10" s="47"/>
      <c r="M10" s="47"/>
      <c r="N10" s="47"/>
    </row>
    <row r="11" spans="1:14">
      <c r="A11" s="28" t="s">
        <v>9</v>
      </c>
      <c r="B11" s="22">
        <f>'Treatment Comparison'!B11</f>
        <v>10968.522349239933</v>
      </c>
      <c r="C11" s="22">
        <f>'Treatment Comparison'!C11</f>
        <v>10211.455252737855</v>
      </c>
      <c r="D11" s="22">
        <f>'Treatment Comparison'!D11</f>
        <v>-757.06709650207813</v>
      </c>
      <c r="F11" s="48" t="s">
        <v>10</v>
      </c>
      <c r="G11" s="49"/>
      <c r="H11" s="49"/>
      <c r="I11" s="49"/>
      <c r="J11" s="49"/>
      <c r="K11" s="49"/>
      <c r="L11" s="49"/>
      <c r="M11" s="49"/>
      <c r="N11" s="50"/>
    </row>
    <row r="12" spans="1:14">
      <c r="A12" s="29" t="s">
        <v>11</v>
      </c>
      <c r="B12" s="31">
        <f>'Treatment Comparison'!B19</f>
        <v>25.999552273886312</v>
      </c>
      <c r="C12" s="31">
        <f>'Treatment Comparison'!C19</f>
        <v>25.792459850159769</v>
      </c>
      <c r="D12" s="31">
        <f>'Treatment Comparison'!D19</f>
        <v>-0.20709242372654302</v>
      </c>
      <c r="F12" s="51"/>
      <c r="G12" s="52"/>
      <c r="H12" s="52"/>
      <c r="I12" s="52"/>
      <c r="J12" s="52"/>
      <c r="K12" s="52"/>
      <c r="L12" s="52"/>
      <c r="M12" s="52"/>
      <c r="N12" s="53"/>
    </row>
    <row r="13" spans="1:14">
      <c r="A13" s="30" t="s">
        <v>12</v>
      </c>
      <c r="B13" s="18">
        <f>'Treatment Comparison'!B22</f>
        <v>5957.4666666666662</v>
      </c>
      <c r="C13" s="18">
        <f>'Treatment Comparison'!C22</f>
        <v>8650.6</v>
      </c>
      <c r="D13" s="18">
        <f>'Treatment Comparison'!D22</f>
        <v>2693.1333333333341</v>
      </c>
      <c r="F13" s="51"/>
      <c r="G13" s="52"/>
      <c r="H13" s="52"/>
      <c r="I13" s="52"/>
      <c r="J13" s="52"/>
      <c r="K13" s="52"/>
      <c r="L13" s="52"/>
      <c r="M13" s="52"/>
      <c r="N13" s="53"/>
    </row>
    <row r="14" spans="1:14">
      <c r="F14" s="54"/>
      <c r="G14" s="55"/>
      <c r="H14" s="55"/>
      <c r="I14" s="55"/>
      <c r="J14" s="55"/>
      <c r="K14" s="55"/>
      <c r="L14" s="55"/>
      <c r="M14" s="55"/>
      <c r="N14" s="56"/>
    </row>
    <row r="16" spans="1:14" ht="23" customHeight="1">
      <c r="A16" s="46" t="s">
        <v>13</v>
      </c>
      <c r="B16" s="46" t="s">
        <v>13</v>
      </c>
      <c r="C16" s="46" t="s">
        <v>13</v>
      </c>
      <c r="D16" s="46" t="s">
        <v>13</v>
      </c>
      <c r="E16" s="46" t="s">
        <v>13</v>
      </c>
      <c r="F16" s="46" t="s">
        <v>13</v>
      </c>
      <c r="G16" s="46" t="s">
        <v>13</v>
      </c>
      <c r="H16" s="46" t="s">
        <v>13</v>
      </c>
      <c r="I16" s="46" t="s">
        <v>13</v>
      </c>
      <c r="J16" s="46" t="s">
        <v>13</v>
      </c>
      <c r="K16" s="46" t="s">
        <v>13</v>
      </c>
      <c r="L16" s="46" t="s">
        <v>13</v>
      </c>
      <c r="M16" s="46" t="s">
        <v>13</v>
      </c>
      <c r="N16" s="46" t="s">
        <v>13</v>
      </c>
    </row>
    <row r="17" spans="1:6" ht="35" customHeight="1">
      <c r="A17" s="1" t="s">
        <v>14</v>
      </c>
      <c r="B17" s="6" t="s">
        <v>15</v>
      </c>
      <c r="C17" s="2" t="s">
        <v>16</v>
      </c>
    </row>
    <row r="18" spans="1:6">
      <c r="A18" s="3" t="s">
        <v>17</v>
      </c>
      <c r="B18" s="32" t="s">
        <v>18</v>
      </c>
      <c r="C18" s="3" t="s">
        <v>19</v>
      </c>
    </row>
    <row r="19" spans="1:6">
      <c r="A19" s="4" t="s">
        <v>20</v>
      </c>
      <c r="B19" s="33" t="s">
        <v>21</v>
      </c>
      <c r="C19" s="4" t="s">
        <v>22</v>
      </c>
    </row>
    <row r="20" spans="1:6">
      <c r="A20" s="5" t="s">
        <v>23</v>
      </c>
      <c r="B20" s="34" t="s">
        <v>24</v>
      </c>
      <c r="C20" s="5" t="s">
        <v>672</v>
      </c>
    </row>
    <row r="24" spans="1:6">
      <c r="A24" s="35" t="s">
        <v>25</v>
      </c>
      <c r="B24" s="35" t="s">
        <v>9</v>
      </c>
      <c r="C24" s="35" t="s">
        <v>26</v>
      </c>
      <c r="E24" t="s">
        <v>25</v>
      </c>
      <c r="F24" t="s">
        <v>26</v>
      </c>
    </row>
    <row r="25" spans="1:6">
      <c r="A25" s="35" t="s">
        <v>6</v>
      </c>
      <c r="B25" s="35">
        <f>'Treatment Comparison'!B11</f>
        <v>10968.522349239933</v>
      </c>
      <c r="C25" s="35">
        <f>'Treatment Comparison'!B19</f>
        <v>25.999552273886312</v>
      </c>
      <c r="E25" t="s">
        <v>6</v>
      </c>
      <c r="F25">
        <f>'Treatment Comparison'!B19</f>
        <v>25.999552273886312</v>
      </c>
    </row>
    <row r="26" spans="1:6">
      <c r="A26" s="35" t="s">
        <v>7</v>
      </c>
      <c r="B26" s="35">
        <f>'Treatment Comparison'!C11</f>
        <v>10211.455252737855</v>
      </c>
      <c r="C26" s="35">
        <f>'Treatment Comparison'!C19</f>
        <v>25.792459850159769</v>
      </c>
      <c r="E26" t="s">
        <v>7</v>
      </c>
      <c r="F26">
        <f>'Treatment Comparison'!C19</f>
        <v>25.792459850159769</v>
      </c>
    </row>
  </sheetData>
  <mergeCells count="14">
    <mergeCell ref="A9:N9"/>
    <mergeCell ref="F10:N10"/>
    <mergeCell ref="F11:N14"/>
    <mergeCell ref="A16:N16"/>
    <mergeCell ref="A1:N2"/>
    <mergeCell ref="A3:N3"/>
    <mergeCell ref="A5:C5"/>
    <mergeCell ref="A6:C7"/>
    <mergeCell ref="D5:F5"/>
    <mergeCell ref="D6:F7"/>
    <mergeCell ref="G5:I5"/>
    <mergeCell ref="G6:I7"/>
    <mergeCell ref="J5:L5"/>
    <mergeCell ref="J6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41"/>
  <sheetViews>
    <sheetView showGridLines="0" topLeftCell="Y3" workbookViewId="0">
      <selection activeCell="AA20" sqref="AA20"/>
    </sheetView>
  </sheetViews>
  <sheetFormatPr baseColWidth="10" defaultColWidth="8.83203125" defaultRowHeight="14"/>
  <cols>
    <col min="1" max="6" width="17" customWidth="1"/>
    <col min="7" max="8" width="16" customWidth="1"/>
    <col min="9" max="13" width="20" customWidth="1"/>
    <col min="14" max="21" width="13" customWidth="1"/>
    <col min="22" max="23" width="14" customWidth="1"/>
    <col min="24" max="26" width="19" customWidth="1"/>
    <col min="27" max="34" width="16" customWidth="1"/>
    <col min="35" max="40" width="15" customWidth="1"/>
  </cols>
  <sheetData>
    <row r="1" spans="1:40" ht="28" customHeight="1">
      <c r="A1" s="36" t="s">
        <v>27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</row>
    <row r="2" spans="1:40" ht="12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</row>
    <row r="4" spans="1:40" ht="35" customHeight="1">
      <c r="A4" s="1" t="s">
        <v>28</v>
      </c>
      <c r="B4" s="2" t="s">
        <v>29</v>
      </c>
    </row>
    <row r="5" spans="1:40">
      <c r="A5" s="3" t="s">
        <v>30</v>
      </c>
      <c r="B5" s="3">
        <f>COUNTA(A10:A41)</f>
        <v>32</v>
      </c>
    </row>
    <row r="6" spans="1:40">
      <c r="A6" s="4" t="s">
        <v>31</v>
      </c>
      <c r="B6" s="4">
        <f>COUNTA('Variety Comparison'!#REF!)</f>
        <v>1</v>
      </c>
    </row>
    <row r="7" spans="1:40">
      <c r="A7" s="5" t="s">
        <v>32</v>
      </c>
      <c r="B7" s="5">
        <f>COUNTA(A10:A41)-COUNTA(Z10:Z41)</f>
        <v>30</v>
      </c>
    </row>
    <row r="9" spans="1:40" ht="35" customHeight="1">
      <c r="A9" s="1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6" t="s">
        <v>38</v>
      </c>
      <c r="G9" s="6" t="s">
        <v>39</v>
      </c>
      <c r="H9" s="6" t="s">
        <v>40</v>
      </c>
      <c r="I9" s="6" t="s">
        <v>41</v>
      </c>
      <c r="J9" s="6" t="s">
        <v>42</v>
      </c>
      <c r="K9" s="6" t="s">
        <v>43</v>
      </c>
      <c r="L9" s="6" t="s">
        <v>44</v>
      </c>
      <c r="M9" s="6" t="s">
        <v>45</v>
      </c>
      <c r="N9" s="6" t="s">
        <v>46</v>
      </c>
      <c r="O9" s="6" t="s">
        <v>47</v>
      </c>
      <c r="P9" s="6" t="s">
        <v>48</v>
      </c>
      <c r="Q9" s="6" t="s">
        <v>49</v>
      </c>
      <c r="R9" s="6" t="s">
        <v>50</v>
      </c>
      <c r="S9" s="6" t="s">
        <v>51</v>
      </c>
      <c r="T9" s="6" t="s">
        <v>52</v>
      </c>
      <c r="U9" s="6" t="s">
        <v>53</v>
      </c>
      <c r="V9" s="6" t="s">
        <v>54</v>
      </c>
      <c r="W9" s="6" t="s">
        <v>55</v>
      </c>
      <c r="X9" s="6" t="s">
        <v>56</v>
      </c>
      <c r="Y9" s="6" t="s">
        <v>57</v>
      </c>
      <c r="Z9" s="6" t="s">
        <v>58</v>
      </c>
      <c r="AA9" s="6" t="s">
        <v>59</v>
      </c>
      <c r="AB9" s="6" t="s">
        <v>60</v>
      </c>
      <c r="AC9" s="6" t="s">
        <v>61</v>
      </c>
      <c r="AD9" s="6" t="s">
        <v>62</v>
      </c>
      <c r="AE9" s="6" t="s">
        <v>63</v>
      </c>
      <c r="AF9" s="6" t="s">
        <v>64</v>
      </c>
      <c r="AG9" s="6" t="s">
        <v>65</v>
      </c>
      <c r="AH9" s="6" t="s">
        <v>66</v>
      </c>
      <c r="AI9" s="6" t="s">
        <v>67</v>
      </c>
      <c r="AJ9" s="6" t="s">
        <v>68</v>
      </c>
      <c r="AK9" s="6" t="s">
        <v>69</v>
      </c>
      <c r="AL9" s="6" t="s">
        <v>70</v>
      </c>
      <c r="AM9" s="6" t="s">
        <v>71</v>
      </c>
      <c r="AN9" s="2" t="s">
        <v>72</v>
      </c>
    </row>
    <row r="10" spans="1:40">
      <c r="A10" s="3" t="s">
        <v>73</v>
      </c>
      <c r="B10" s="3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>
        <v>0</v>
      </c>
      <c r="I10" s="3" t="s">
        <v>80</v>
      </c>
      <c r="J10" s="3">
        <v>3040</v>
      </c>
      <c r="K10" s="3" t="s">
        <v>81</v>
      </c>
      <c r="L10" s="3" t="s">
        <v>82</v>
      </c>
      <c r="M10" s="3" t="s">
        <v>83</v>
      </c>
      <c r="N10" s="13" t="s">
        <v>84</v>
      </c>
      <c r="O10" s="13">
        <v>25.538009799131377</v>
      </c>
      <c r="P10" s="13">
        <v>25.576661071774936</v>
      </c>
      <c r="Q10" s="13">
        <v>24.5447153782481</v>
      </c>
      <c r="R10" s="13">
        <v>26.564026828859767</v>
      </c>
      <c r="S10" s="13">
        <v>0.59530752922514463</v>
      </c>
      <c r="T10" s="13">
        <v>24.720345018523744</v>
      </c>
      <c r="U10" s="13">
        <v>26.34829342789908</v>
      </c>
      <c r="V10" s="16">
        <v>0.53800979913137681</v>
      </c>
      <c r="W10" s="19">
        <v>12039</v>
      </c>
      <c r="X10" s="3">
        <v>3.9189453125000002E-2</v>
      </c>
      <c r="Y10" s="7" t="b">
        <v>1</v>
      </c>
      <c r="Z10" s="10"/>
      <c r="AA10" s="3">
        <v>143</v>
      </c>
      <c r="AB10" s="3">
        <v>8</v>
      </c>
      <c r="AC10" s="3">
        <v>30</v>
      </c>
      <c r="AD10" s="3">
        <v>105</v>
      </c>
      <c r="AE10" s="3">
        <v>23.190175080074784</v>
      </c>
      <c r="AF10" s="3">
        <v>3</v>
      </c>
      <c r="AG10" s="19">
        <v>3</v>
      </c>
      <c r="AH10" s="3">
        <v>1</v>
      </c>
      <c r="AI10" s="22" t="s">
        <v>85</v>
      </c>
      <c r="AJ10" s="22">
        <v>7280.0297945216298</v>
      </c>
      <c r="AK10" s="22">
        <v>6492.4524928256869</v>
      </c>
      <c r="AL10" s="22">
        <v>2410.5038861672479</v>
      </c>
      <c r="AM10" s="22">
        <v>5927.1380122862756</v>
      </c>
      <c r="AN10" s="22">
        <v>8239.1329259090126</v>
      </c>
    </row>
    <row r="11" spans="1:40">
      <c r="A11" s="4" t="s">
        <v>73</v>
      </c>
      <c r="B11" s="4" t="s">
        <v>74</v>
      </c>
      <c r="C11" s="4" t="s">
        <v>86</v>
      </c>
      <c r="D11" s="4" t="s">
        <v>76</v>
      </c>
      <c r="E11" s="4" t="s">
        <v>77</v>
      </c>
      <c r="F11" s="4" t="s">
        <v>87</v>
      </c>
      <c r="G11" s="4" t="s">
        <v>88</v>
      </c>
      <c r="H11" s="4">
        <v>100</v>
      </c>
      <c r="I11" s="4" t="s">
        <v>89</v>
      </c>
      <c r="J11" s="4">
        <v>3011</v>
      </c>
      <c r="K11" s="4" t="s">
        <v>81</v>
      </c>
      <c r="L11" s="4" t="s">
        <v>90</v>
      </c>
      <c r="M11" s="4" t="s">
        <v>91</v>
      </c>
      <c r="N11" s="14" t="s">
        <v>92</v>
      </c>
      <c r="O11" s="14">
        <v>23.446142850544295</v>
      </c>
      <c r="P11" s="14">
        <v>23.422435335449904</v>
      </c>
      <c r="Q11" s="14">
        <v>23.182251540298068</v>
      </c>
      <c r="R11" s="14">
        <v>25.993528489846426</v>
      </c>
      <c r="S11" s="14">
        <v>0.17216599746893863</v>
      </c>
      <c r="T11" s="14">
        <v>23.351328500878083</v>
      </c>
      <c r="U11" s="14">
        <v>23.511249539278765</v>
      </c>
      <c r="V11" s="17">
        <v>-1.5538571494557054</v>
      </c>
      <c r="W11" s="20">
        <v>158443</v>
      </c>
      <c r="X11" s="4">
        <v>0.51576497395833332</v>
      </c>
      <c r="Y11" s="8" t="b">
        <v>0</v>
      </c>
      <c r="Z11" s="11" t="s">
        <v>93</v>
      </c>
      <c r="AA11" s="4">
        <v>89</v>
      </c>
      <c r="AB11" s="4">
        <v>4</v>
      </c>
      <c r="AC11" s="4">
        <v>23</v>
      </c>
      <c r="AD11" s="4">
        <v>62</v>
      </c>
      <c r="AE11" s="4">
        <v>14.350672038366945</v>
      </c>
      <c r="AF11" s="4">
        <v>2</v>
      </c>
      <c r="AG11" s="20">
        <v>2</v>
      </c>
      <c r="AH11" s="4">
        <v>1</v>
      </c>
      <c r="AI11" s="23" t="s">
        <v>85</v>
      </c>
      <c r="AJ11" s="23">
        <v>5641.2696517929435</v>
      </c>
      <c r="AK11" s="23">
        <v>5641.2696517929435</v>
      </c>
      <c r="AL11" s="23">
        <v>3497.0009242697702</v>
      </c>
      <c r="AM11" s="23">
        <v>4404.8931181095541</v>
      </c>
      <c r="AN11" s="23">
        <v>6877.6461854763329</v>
      </c>
    </row>
    <row r="12" spans="1:40">
      <c r="A12" s="4" t="s">
        <v>73</v>
      </c>
      <c r="B12" s="4" t="s">
        <v>94</v>
      </c>
      <c r="C12" s="4" t="s">
        <v>95</v>
      </c>
      <c r="D12" s="4" t="s">
        <v>96</v>
      </c>
      <c r="E12" s="4" t="s">
        <v>77</v>
      </c>
      <c r="F12" s="4" t="s">
        <v>78</v>
      </c>
      <c r="G12" s="4" t="s">
        <v>79</v>
      </c>
      <c r="H12" s="4">
        <v>0</v>
      </c>
      <c r="I12" s="4" t="s">
        <v>97</v>
      </c>
      <c r="J12" s="4">
        <v>3037</v>
      </c>
      <c r="K12" s="4" t="s">
        <v>81</v>
      </c>
      <c r="L12" s="4" t="s">
        <v>98</v>
      </c>
      <c r="M12" s="4" t="s">
        <v>99</v>
      </c>
      <c r="N12" s="14" t="s">
        <v>100</v>
      </c>
      <c r="O12" s="14">
        <v>25.05125721033199</v>
      </c>
      <c r="P12" s="14">
        <v>24.886917857061633</v>
      </c>
      <c r="Q12" s="14">
        <v>24.051358711285616</v>
      </c>
      <c r="R12" s="14">
        <v>27.891824970401217</v>
      </c>
      <c r="S12" s="14">
        <v>0.69124352887217233</v>
      </c>
      <c r="T12" s="14">
        <v>24.32475813967568</v>
      </c>
      <c r="U12" s="14">
        <v>26.132116136509637</v>
      </c>
      <c r="V12" s="17">
        <v>5.1257210331989711E-2</v>
      </c>
      <c r="W12" s="20">
        <v>5927</v>
      </c>
      <c r="X12" s="4">
        <v>1.9293619791666668E-2</v>
      </c>
      <c r="Y12" s="8" t="b">
        <v>1</v>
      </c>
      <c r="Z12" s="11"/>
      <c r="AA12" s="4">
        <v>192</v>
      </c>
      <c r="AB12" s="4">
        <v>18</v>
      </c>
      <c r="AC12" s="4">
        <v>36</v>
      </c>
      <c r="AD12" s="4">
        <v>138</v>
      </c>
      <c r="AE12" s="4">
        <v>34.802659521165822</v>
      </c>
      <c r="AF12" s="4">
        <v>3</v>
      </c>
      <c r="AG12" s="20">
        <v>3</v>
      </c>
      <c r="AH12" s="4">
        <v>1</v>
      </c>
      <c r="AI12" s="23" t="s">
        <v>85</v>
      </c>
      <c r="AJ12" s="23">
        <v>9400.881662572423</v>
      </c>
      <c r="AK12" s="23">
        <v>11024.01488789171</v>
      </c>
      <c r="AL12" s="23">
        <v>2826.3977245458259</v>
      </c>
      <c r="AM12" s="23">
        <v>8580.6344842724502</v>
      </c>
      <c r="AN12" s="23">
        <v>11032.69545353204</v>
      </c>
    </row>
    <row r="13" spans="1:40">
      <c r="A13" s="4" t="s">
        <v>73</v>
      </c>
      <c r="B13" s="4" t="s">
        <v>94</v>
      </c>
      <c r="C13" s="4" t="s">
        <v>101</v>
      </c>
      <c r="D13" s="4" t="s">
        <v>96</v>
      </c>
      <c r="E13" s="4" t="s">
        <v>77</v>
      </c>
      <c r="F13" s="4" t="s">
        <v>87</v>
      </c>
      <c r="G13" s="4" t="s">
        <v>88</v>
      </c>
      <c r="H13" s="4">
        <v>100</v>
      </c>
      <c r="I13" s="4" t="s">
        <v>102</v>
      </c>
      <c r="J13" s="4">
        <v>3012</v>
      </c>
      <c r="K13" s="4" t="s">
        <v>81</v>
      </c>
      <c r="L13" s="4" t="s">
        <v>103</v>
      </c>
      <c r="M13" s="4" t="s">
        <v>104</v>
      </c>
      <c r="N13" s="14" t="s">
        <v>105</v>
      </c>
      <c r="O13" s="14">
        <v>26.327707804545426</v>
      </c>
      <c r="P13" s="14">
        <v>26.469158650486918</v>
      </c>
      <c r="Q13" s="14">
        <v>25.114427216609727</v>
      </c>
      <c r="R13" s="14">
        <v>27.319915475801963</v>
      </c>
      <c r="S13" s="14">
        <v>0.6216673729404143</v>
      </c>
      <c r="T13" s="14">
        <v>25.393757052248134</v>
      </c>
      <c r="U13" s="14">
        <v>27.054253191449448</v>
      </c>
      <c r="V13" s="17">
        <v>1.327707804545426</v>
      </c>
      <c r="W13" s="20">
        <v>4348</v>
      </c>
      <c r="X13" s="4">
        <v>1.4153645833333334E-2</v>
      </c>
      <c r="Y13" s="8" t="b">
        <v>1</v>
      </c>
      <c r="Z13" s="11"/>
      <c r="AA13" s="4">
        <v>332</v>
      </c>
      <c r="AB13" s="4">
        <v>34</v>
      </c>
      <c r="AC13" s="4">
        <v>84</v>
      </c>
      <c r="AD13" s="4">
        <v>214</v>
      </c>
      <c r="AE13" s="4">
        <v>75.302710643928975</v>
      </c>
      <c r="AF13" s="4">
        <v>3</v>
      </c>
      <c r="AG13" s="20">
        <v>3</v>
      </c>
      <c r="AH13" s="4">
        <v>1</v>
      </c>
      <c r="AI13" s="23" t="s">
        <v>85</v>
      </c>
      <c r="AJ13" s="23">
        <v>13435.520220736662</v>
      </c>
      <c r="AK13" s="23">
        <v>13415.39175093174</v>
      </c>
      <c r="AL13" s="23">
        <v>4462.1634931853623</v>
      </c>
      <c r="AM13" s="23">
        <v>11199.423381373286</v>
      </c>
      <c r="AN13" s="23">
        <v>15661.552825197577</v>
      </c>
    </row>
    <row r="14" spans="1:40">
      <c r="A14" s="4" t="s">
        <v>73</v>
      </c>
      <c r="B14" s="4" t="s">
        <v>106</v>
      </c>
      <c r="C14" s="4" t="s">
        <v>107</v>
      </c>
      <c r="D14" s="4" t="s">
        <v>108</v>
      </c>
      <c r="E14" s="4" t="s">
        <v>77</v>
      </c>
      <c r="F14" s="4" t="s">
        <v>78</v>
      </c>
      <c r="G14" s="4" t="s">
        <v>79</v>
      </c>
      <c r="H14" s="4">
        <v>0</v>
      </c>
      <c r="I14" s="4" t="s">
        <v>109</v>
      </c>
      <c r="J14" s="4">
        <v>3053</v>
      </c>
      <c r="K14" s="4" t="s">
        <v>81</v>
      </c>
      <c r="L14" s="4" t="s">
        <v>110</v>
      </c>
      <c r="M14" s="4" t="s">
        <v>111</v>
      </c>
      <c r="N14" s="14" t="s">
        <v>112</v>
      </c>
      <c r="O14" s="14">
        <v>26.180443419545441</v>
      </c>
      <c r="P14" s="14">
        <v>26.374204821297553</v>
      </c>
      <c r="Q14" s="14">
        <v>25.044477397653282</v>
      </c>
      <c r="R14" s="14">
        <v>26.908283540863579</v>
      </c>
      <c r="S14" s="14">
        <v>0.50099642255951504</v>
      </c>
      <c r="T14" s="14">
        <v>25.376320874953706</v>
      </c>
      <c r="U14" s="14">
        <v>26.676033646904102</v>
      </c>
      <c r="V14" s="17">
        <v>1.1804434195454405</v>
      </c>
      <c r="W14" s="20">
        <v>8739</v>
      </c>
      <c r="X14" s="4">
        <v>2.8447265624999999E-2</v>
      </c>
      <c r="Y14" s="8" t="b">
        <v>1</v>
      </c>
      <c r="Z14" s="11"/>
      <c r="AA14" s="4">
        <v>82</v>
      </c>
      <c r="AB14" s="4">
        <v>3</v>
      </c>
      <c r="AC14" s="4">
        <v>20</v>
      </c>
      <c r="AD14" s="4">
        <v>59</v>
      </c>
      <c r="AE14" s="4">
        <v>13.113865386331756</v>
      </c>
      <c r="AF14" s="4">
        <v>3</v>
      </c>
      <c r="AG14" s="20">
        <v>3</v>
      </c>
      <c r="AH14" s="4">
        <v>1</v>
      </c>
      <c r="AI14" s="23" t="s">
        <v>85</v>
      </c>
      <c r="AJ14" s="23">
        <v>8927.5513094297294</v>
      </c>
      <c r="AK14" s="23">
        <v>9390.4546034783125</v>
      </c>
      <c r="AL14" s="23">
        <v>837.13195934878001</v>
      </c>
      <c r="AM14" s="23">
        <v>8675.8263462260365</v>
      </c>
      <c r="AN14" s="23">
        <v>9410.7279196577147</v>
      </c>
    </row>
    <row r="15" spans="1:40">
      <c r="A15" s="4" t="s">
        <v>73</v>
      </c>
      <c r="B15" s="4" t="s">
        <v>106</v>
      </c>
      <c r="C15" s="4" t="s">
        <v>113</v>
      </c>
      <c r="D15" s="4" t="s">
        <v>108</v>
      </c>
      <c r="E15" s="4" t="s">
        <v>77</v>
      </c>
      <c r="F15" s="4" t="s">
        <v>87</v>
      </c>
      <c r="G15" s="4" t="s">
        <v>88</v>
      </c>
      <c r="H15" s="4">
        <v>100</v>
      </c>
      <c r="I15" s="4" t="s">
        <v>114</v>
      </c>
      <c r="J15" s="4">
        <v>3013</v>
      </c>
      <c r="K15" s="4" t="s">
        <v>81</v>
      </c>
      <c r="L15" s="4" t="s">
        <v>115</v>
      </c>
      <c r="M15" s="4" t="s">
        <v>116</v>
      </c>
      <c r="N15" s="14" t="s">
        <v>117</v>
      </c>
      <c r="O15" s="14">
        <v>26.232168738435153</v>
      </c>
      <c r="P15" s="14">
        <v>26.365568400103996</v>
      </c>
      <c r="Q15" s="14">
        <v>25.026982582918606</v>
      </c>
      <c r="R15" s="14">
        <v>27.028508491935554</v>
      </c>
      <c r="S15" s="14">
        <v>0.56367929825910912</v>
      </c>
      <c r="T15" s="14">
        <v>25.393757052248134</v>
      </c>
      <c r="U15" s="14">
        <v>26.910001948247849</v>
      </c>
      <c r="V15" s="17">
        <v>1.2321687384351527</v>
      </c>
      <c r="W15" s="20">
        <v>5619</v>
      </c>
      <c r="X15" s="4">
        <v>1.8291015625E-2</v>
      </c>
      <c r="Y15" s="8" t="b">
        <v>1</v>
      </c>
      <c r="Z15" s="11"/>
      <c r="AA15" s="4">
        <v>110</v>
      </c>
      <c r="AB15" s="4">
        <v>3</v>
      </c>
      <c r="AC15" s="4">
        <v>21</v>
      </c>
      <c r="AD15" s="4">
        <v>86</v>
      </c>
      <c r="AE15" s="4">
        <v>11.236795947343902</v>
      </c>
      <c r="AF15" s="4">
        <v>3</v>
      </c>
      <c r="AG15" s="20">
        <v>3</v>
      </c>
      <c r="AH15" s="4">
        <v>1</v>
      </c>
      <c r="AI15" s="23" t="s">
        <v>85</v>
      </c>
      <c r="AJ15" s="23">
        <v>10477.076933714328</v>
      </c>
      <c r="AK15" s="23">
        <v>8925.019157201983</v>
      </c>
      <c r="AL15" s="23">
        <v>3823.7803701516655</v>
      </c>
      <c r="AM15" s="23">
        <v>8299.1858309214003</v>
      </c>
      <c r="AN15" s="23">
        <v>11878.939148251084</v>
      </c>
    </row>
    <row r="16" spans="1:40">
      <c r="A16" s="4" t="s">
        <v>73</v>
      </c>
      <c r="B16" s="4" t="s">
        <v>118</v>
      </c>
      <c r="C16" s="4" t="s">
        <v>119</v>
      </c>
      <c r="D16" s="4" t="s">
        <v>120</v>
      </c>
      <c r="E16" s="4" t="s">
        <v>77</v>
      </c>
      <c r="F16" s="4" t="s">
        <v>78</v>
      </c>
      <c r="G16" s="4" t="s">
        <v>79</v>
      </c>
      <c r="H16" s="4">
        <v>0</v>
      </c>
      <c r="I16" s="4" t="s">
        <v>121</v>
      </c>
      <c r="J16" s="4">
        <v>3046</v>
      </c>
      <c r="K16" s="4" t="s">
        <v>81</v>
      </c>
      <c r="L16" s="4" t="s">
        <v>122</v>
      </c>
      <c r="M16" s="4" t="s">
        <v>123</v>
      </c>
      <c r="N16" s="14" t="s">
        <v>124</v>
      </c>
      <c r="O16" s="14">
        <v>25.035619074755193</v>
      </c>
      <c r="P16" s="14">
        <v>24.930708388102346</v>
      </c>
      <c r="Q16" s="14">
        <v>24.139631299845576</v>
      </c>
      <c r="R16" s="14">
        <v>28.291188599237501</v>
      </c>
      <c r="S16" s="14">
        <v>0.56658874259039604</v>
      </c>
      <c r="T16" s="14">
        <v>24.491968310726804</v>
      </c>
      <c r="U16" s="14">
        <v>25.463472605920515</v>
      </c>
      <c r="V16" s="17">
        <v>3.561907475519277E-2</v>
      </c>
      <c r="W16" s="20">
        <v>8257</v>
      </c>
      <c r="X16" s="4">
        <v>2.6878255208333333E-2</v>
      </c>
      <c r="Y16" s="8" t="b">
        <v>1</v>
      </c>
      <c r="Z16" s="11"/>
      <c r="AA16" s="4">
        <v>43</v>
      </c>
      <c r="AB16" s="4">
        <v>0</v>
      </c>
      <c r="AC16" s="4">
        <v>6</v>
      </c>
      <c r="AD16" s="4">
        <v>37</v>
      </c>
      <c r="AE16" s="4">
        <v>3.733844380307255</v>
      </c>
      <c r="AF16" s="4">
        <v>3</v>
      </c>
      <c r="AG16" s="20">
        <v>3</v>
      </c>
      <c r="AH16" s="4">
        <v>1</v>
      </c>
      <c r="AI16" s="23" t="s">
        <v>85</v>
      </c>
      <c r="AJ16" s="23">
        <v>11187.912456390759</v>
      </c>
      <c r="AK16" s="23">
        <v>10728.205570995808</v>
      </c>
      <c r="AL16" s="23">
        <v>2496.5327639926468</v>
      </c>
      <c r="AM16" s="23">
        <v>9840.6933563500643</v>
      </c>
      <c r="AN16" s="23">
        <v>12305.278113733977</v>
      </c>
    </row>
    <row r="17" spans="1:40">
      <c r="A17" s="4" t="s">
        <v>73</v>
      </c>
      <c r="B17" s="4" t="s">
        <v>118</v>
      </c>
      <c r="C17" s="4" t="s">
        <v>125</v>
      </c>
      <c r="D17" s="4" t="s">
        <v>120</v>
      </c>
      <c r="E17" s="4" t="s">
        <v>77</v>
      </c>
      <c r="F17" s="4" t="s">
        <v>87</v>
      </c>
      <c r="G17" s="4" t="s">
        <v>88</v>
      </c>
      <c r="H17" s="4">
        <v>100</v>
      </c>
      <c r="I17" s="4" t="s">
        <v>126</v>
      </c>
      <c r="J17" s="4">
        <v>3014</v>
      </c>
      <c r="K17" s="4" t="s">
        <v>81</v>
      </c>
      <c r="L17" s="4" t="s">
        <v>127</v>
      </c>
      <c r="M17" s="4" t="s">
        <v>128</v>
      </c>
      <c r="N17" s="14" t="s">
        <v>129</v>
      </c>
      <c r="O17" s="14">
        <v>25.370568224584765</v>
      </c>
      <c r="P17" s="14">
        <v>25.341439763825576</v>
      </c>
      <c r="Q17" s="14">
        <v>24.641348548129372</v>
      </c>
      <c r="R17" s="14">
        <v>27.422573818188027</v>
      </c>
      <c r="S17" s="14">
        <v>0.43313523175188279</v>
      </c>
      <c r="T17" s="14">
        <v>24.8255800454736</v>
      </c>
      <c r="U17" s="14">
        <v>25.915492296691241</v>
      </c>
      <c r="V17" s="17">
        <v>0.37056822458476546</v>
      </c>
      <c r="W17" s="20">
        <v>5583</v>
      </c>
      <c r="X17" s="4">
        <v>1.8173828124999999E-2</v>
      </c>
      <c r="Y17" s="8" t="b">
        <v>1</v>
      </c>
      <c r="Z17" s="11"/>
      <c r="AA17" s="4">
        <v>118</v>
      </c>
      <c r="AB17" s="4">
        <v>15</v>
      </c>
      <c r="AC17" s="4">
        <v>25</v>
      </c>
      <c r="AD17" s="4">
        <v>78</v>
      </c>
      <c r="AE17" s="4">
        <v>27.366070677790809</v>
      </c>
      <c r="AF17" s="4">
        <v>2</v>
      </c>
      <c r="AG17" s="20">
        <v>2</v>
      </c>
      <c r="AH17" s="4">
        <v>1</v>
      </c>
      <c r="AI17" s="23" t="s">
        <v>85</v>
      </c>
      <c r="AJ17" s="23">
        <v>12299.127460382879</v>
      </c>
      <c r="AK17" s="23">
        <v>12299.127460382879</v>
      </c>
      <c r="AL17" s="23">
        <v>7076.1181917097065</v>
      </c>
      <c r="AM17" s="23">
        <v>9797.3418814651668</v>
      </c>
      <c r="AN17" s="23">
        <v>14800.913039300591</v>
      </c>
    </row>
    <row r="18" spans="1:40">
      <c r="A18" s="4" t="s">
        <v>73</v>
      </c>
      <c r="B18" s="4" t="s">
        <v>130</v>
      </c>
      <c r="C18" s="4" t="s">
        <v>131</v>
      </c>
      <c r="D18" s="4" t="s">
        <v>132</v>
      </c>
      <c r="E18" s="4" t="s">
        <v>77</v>
      </c>
      <c r="F18" s="4" t="s">
        <v>78</v>
      </c>
      <c r="G18" s="4" t="s">
        <v>79</v>
      </c>
      <c r="H18" s="4">
        <v>0</v>
      </c>
      <c r="I18" s="4" t="s">
        <v>133</v>
      </c>
      <c r="J18" s="4">
        <v>3039</v>
      </c>
      <c r="K18" s="4" t="s">
        <v>81</v>
      </c>
      <c r="L18" s="4" t="s">
        <v>134</v>
      </c>
      <c r="M18" s="4" t="s">
        <v>135</v>
      </c>
      <c r="N18" s="14" t="s">
        <v>136</v>
      </c>
      <c r="O18" s="14">
        <v>25.710670969367822</v>
      </c>
      <c r="P18" s="14">
        <v>25.741869907594889</v>
      </c>
      <c r="Q18" s="14">
        <v>24.737891611606074</v>
      </c>
      <c r="R18" s="14">
        <v>27.627592896126828</v>
      </c>
      <c r="S18" s="14">
        <v>0.51214388535118116</v>
      </c>
      <c r="T18" s="14">
        <v>24.974480451768613</v>
      </c>
      <c r="U18" s="14">
        <v>26.296451460550713</v>
      </c>
      <c r="V18" s="17">
        <v>0.71067096936782193</v>
      </c>
      <c r="W18" s="20">
        <v>9232</v>
      </c>
      <c r="X18" s="4">
        <v>3.0052083333333333E-2</v>
      </c>
      <c r="Y18" s="8" t="b">
        <v>1</v>
      </c>
      <c r="Z18" s="11"/>
      <c r="AA18" s="4">
        <v>186</v>
      </c>
      <c r="AB18" s="4">
        <v>24</v>
      </c>
      <c r="AC18" s="4">
        <v>46</v>
      </c>
      <c r="AD18" s="4">
        <v>116</v>
      </c>
      <c r="AE18" s="4">
        <v>48.878991923092734</v>
      </c>
      <c r="AF18" s="4">
        <v>2</v>
      </c>
      <c r="AG18" s="20">
        <v>2</v>
      </c>
      <c r="AH18" s="4">
        <v>1</v>
      </c>
      <c r="AI18" s="23" t="s">
        <v>85</v>
      </c>
      <c r="AJ18" s="23">
        <v>9229.5131443962455</v>
      </c>
      <c r="AK18" s="23">
        <v>9229.5131443962455</v>
      </c>
      <c r="AL18" s="23">
        <v>3588.5202855771495</v>
      </c>
      <c r="AM18" s="23">
        <v>7960.7796302177012</v>
      </c>
      <c r="AN18" s="23">
        <v>10498.24665857479</v>
      </c>
    </row>
    <row r="19" spans="1:40">
      <c r="A19" s="4" t="s">
        <v>73</v>
      </c>
      <c r="B19" s="4" t="s">
        <v>130</v>
      </c>
      <c r="C19" s="4" t="s">
        <v>137</v>
      </c>
      <c r="D19" s="4" t="s">
        <v>132</v>
      </c>
      <c r="E19" s="4" t="s">
        <v>77</v>
      </c>
      <c r="F19" s="4" t="s">
        <v>87</v>
      </c>
      <c r="G19" s="4" t="s">
        <v>88</v>
      </c>
      <c r="H19" s="4">
        <v>100</v>
      </c>
      <c r="I19" s="4" t="s">
        <v>138</v>
      </c>
      <c r="J19" s="4">
        <v>3015</v>
      </c>
      <c r="K19" s="4" t="s">
        <v>81</v>
      </c>
      <c r="L19" s="4" t="s">
        <v>139</v>
      </c>
      <c r="M19" s="4" t="s">
        <v>140</v>
      </c>
      <c r="N19" s="14" t="s">
        <v>141</v>
      </c>
      <c r="O19" s="14">
        <v>26.582684310236822</v>
      </c>
      <c r="P19" s="14">
        <v>26.75350712698588</v>
      </c>
      <c r="Q19" s="14">
        <v>25.32399482716238</v>
      </c>
      <c r="R19" s="14">
        <v>28.053450000451505</v>
      </c>
      <c r="S19" s="14">
        <v>0.56133923855581247</v>
      </c>
      <c r="T19" s="14">
        <v>25.698419225059752</v>
      </c>
      <c r="U19" s="14">
        <v>27.131449693950628</v>
      </c>
      <c r="V19" s="17">
        <v>1.5826843102368215</v>
      </c>
      <c r="W19" s="20">
        <v>7157</v>
      </c>
      <c r="X19" s="4">
        <v>2.3297526041666666E-2</v>
      </c>
      <c r="Y19" s="8" t="b">
        <v>1</v>
      </c>
      <c r="Z19" s="11"/>
      <c r="AA19" s="4">
        <v>176</v>
      </c>
      <c r="AB19" s="4">
        <v>6</v>
      </c>
      <c r="AC19" s="4">
        <v>62</v>
      </c>
      <c r="AD19" s="4">
        <v>108</v>
      </c>
      <c r="AE19" s="4">
        <v>34.153615161531796</v>
      </c>
      <c r="AF19" s="4">
        <v>2</v>
      </c>
      <c r="AG19" s="20">
        <v>2</v>
      </c>
      <c r="AH19" s="4">
        <v>1</v>
      </c>
      <c r="AI19" s="23" t="s">
        <v>85</v>
      </c>
      <c r="AJ19" s="23">
        <v>11856.759673804045</v>
      </c>
      <c r="AK19" s="23">
        <v>11856.759673804045</v>
      </c>
      <c r="AL19" s="23">
        <v>1739.088808714273</v>
      </c>
      <c r="AM19" s="23">
        <v>11241.898928940296</v>
      </c>
      <c r="AN19" s="23">
        <v>12471.620418667793</v>
      </c>
    </row>
    <row r="20" spans="1:40">
      <c r="A20" s="4" t="s">
        <v>73</v>
      </c>
      <c r="B20" s="4" t="s">
        <v>142</v>
      </c>
      <c r="C20" s="4" t="s">
        <v>143</v>
      </c>
      <c r="D20" s="4" t="s">
        <v>144</v>
      </c>
      <c r="E20" s="4" t="s">
        <v>77</v>
      </c>
      <c r="F20" s="4" t="s">
        <v>78</v>
      </c>
      <c r="G20" s="4" t="s">
        <v>79</v>
      </c>
      <c r="H20" s="4">
        <v>0</v>
      </c>
      <c r="I20" s="4" t="s">
        <v>145</v>
      </c>
      <c r="J20" s="4">
        <v>3042</v>
      </c>
      <c r="K20" s="4" t="s">
        <v>81</v>
      </c>
      <c r="L20" s="4" t="s">
        <v>146</v>
      </c>
      <c r="M20" s="4" t="s">
        <v>147</v>
      </c>
      <c r="N20" s="14" t="s">
        <v>148</v>
      </c>
      <c r="O20" s="14">
        <v>26.297341671872658</v>
      </c>
      <c r="P20" s="14">
        <v>26.374204821297553</v>
      </c>
      <c r="Q20" s="14">
        <v>25.131907318514664</v>
      </c>
      <c r="R20" s="14">
        <v>29.639668656780202</v>
      </c>
      <c r="S20" s="14">
        <v>0.62387775422024117</v>
      </c>
      <c r="T20" s="14">
        <v>25.419905849327336</v>
      </c>
      <c r="U20" s="14">
        <v>26.848119691341935</v>
      </c>
      <c r="V20" s="17">
        <v>1.2973416718726583</v>
      </c>
      <c r="W20" s="20">
        <v>9989</v>
      </c>
      <c r="X20" s="4">
        <v>3.2516276041666667E-2</v>
      </c>
      <c r="Y20" s="8" t="b">
        <v>1</v>
      </c>
      <c r="Z20" s="11"/>
      <c r="AA20" s="4">
        <v>114</v>
      </c>
      <c r="AB20" s="4">
        <v>3</v>
      </c>
      <c r="AC20" s="4">
        <v>25</v>
      </c>
      <c r="AD20" s="4">
        <v>86</v>
      </c>
      <c r="AE20" s="4">
        <v>17.273476774956805</v>
      </c>
      <c r="AF20" s="4">
        <v>3</v>
      </c>
      <c r="AG20" s="20">
        <v>3</v>
      </c>
      <c r="AH20" s="4">
        <v>1</v>
      </c>
      <c r="AI20" s="23" t="s">
        <v>85</v>
      </c>
      <c r="AJ20" s="23">
        <v>6655.8525158055127</v>
      </c>
      <c r="AK20" s="23">
        <v>7147.259346563369</v>
      </c>
      <c r="AL20" s="23">
        <v>1912.8402078904576</v>
      </c>
      <c r="AM20" s="23">
        <v>5846.2548742089421</v>
      </c>
      <c r="AN20" s="23">
        <v>7711.1535727810115</v>
      </c>
    </row>
    <row r="21" spans="1:40">
      <c r="A21" s="4" t="s">
        <v>73</v>
      </c>
      <c r="B21" s="4" t="s">
        <v>142</v>
      </c>
      <c r="C21" s="4" t="s">
        <v>149</v>
      </c>
      <c r="D21" s="4" t="s">
        <v>144</v>
      </c>
      <c r="E21" s="4" t="s">
        <v>77</v>
      </c>
      <c r="F21" s="4" t="s">
        <v>87</v>
      </c>
      <c r="G21" s="4" t="s">
        <v>88</v>
      </c>
      <c r="H21" s="4">
        <v>100</v>
      </c>
      <c r="I21" s="4" t="s">
        <v>150</v>
      </c>
      <c r="J21" s="4">
        <v>3016</v>
      </c>
      <c r="K21" s="4" t="s">
        <v>81</v>
      </c>
      <c r="L21" s="4" t="s">
        <v>151</v>
      </c>
      <c r="M21" s="4" t="s">
        <v>152</v>
      </c>
      <c r="N21" s="14" t="s">
        <v>153</v>
      </c>
      <c r="O21" s="14">
        <v>26.382624366778394</v>
      </c>
      <c r="P21" s="14">
        <v>26.503666068122754</v>
      </c>
      <c r="Q21" s="14">
        <v>25.393757052248134</v>
      </c>
      <c r="R21" s="14">
        <v>27.182882743152618</v>
      </c>
      <c r="S21" s="14">
        <v>0.50724190081450204</v>
      </c>
      <c r="T21" s="14">
        <v>25.594063789048448</v>
      </c>
      <c r="U21" s="14">
        <v>26.977000268286929</v>
      </c>
      <c r="V21" s="17">
        <v>1.3826243667783942</v>
      </c>
      <c r="W21" s="20">
        <v>6486</v>
      </c>
      <c r="X21" s="4">
        <v>2.1113281250000001E-2</v>
      </c>
      <c r="Y21" s="8" t="b">
        <v>1</v>
      </c>
      <c r="Z21" s="11"/>
      <c r="AA21" s="4">
        <v>186</v>
      </c>
      <c r="AB21" s="4">
        <v>5</v>
      </c>
      <c r="AC21" s="4">
        <v>80</v>
      </c>
      <c r="AD21" s="4">
        <v>101</v>
      </c>
      <c r="AE21" s="4">
        <v>48.648628515844464</v>
      </c>
      <c r="AF21" s="4">
        <v>3</v>
      </c>
      <c r="AG21" s="20">
        <v>3</v>
      </c>
      <c r="AH21" s="4">
        <v>1</v>
      </c>
      <c r="AI21" s="23" t="s">
        <v>85</v>
      </c>
      <c r="AJ21" s="23">
        <v>9363.3859320630636</v>
      </c>
      <c r="AK21" s="23">
        <v>9508.1401658654213</v>
      </c>
      <c r="AL21" s="23">
        <v>1496.9205631949878</v>
      </c>
      <c r="AM21" s="23">
        <v>8653.743438705802</v>
      </c>
      <c r="AN21" s="23">
        <v>10145.405542321503</v>
      </c>
    </row>
    <row r="22" spans="1:40">
      <c r="A22" s="4" t="s">
        <v>73</v>
      </c>
      <c r="B22" s="4" t="s">
        <v>154</v>
      </c>
      <c r="C22" s="4" t="s">
        <v>155</v>
      </c>
      <c r="D22" s="4" t="s">
        <v>156</v>
      </c>
      <c r="E22" s="4" t="s">
        <v>77</v>
      </c>
      <c r="F22" s="4" t="s">
        <v>78</v>
      </c>
      <c r="G22" s="4" t="s">
        <v>79</v>
      </c>
      <c r="H22" s="4">
        <v>0</v>
      </c>
      <c r="I22" s="4" t="s">
        <v>157</v>
      </c>
      <c r="J22" s="4">
        <v>3051</v>
      </c>
      <c r="K22" s="4" t="s">
        <v>81</v>
      </c>
      <c r="L22" s="4" t="s">
        <v>158</v>
      </c>
      <c r="M22" s="4" t="s">
        <v>159</v>
      </c>
      <c r="N22" s="14" t="s">
        <v>160</v>
      </c>
      <c r="O22" s="14">
        <v>26.247659986897318</v>
      </c>
      <c r="P22" s="14">
        <v>26.356931269027598</v>
      </c>
      <c r="Q22" s="14">
        <v>25.166858708934285</v>
      </c>
      <c r="R22" s="14">
        <v>27.122875087271268</v>
      </c>
      <c r="S22" s="14">
        <v>0.56171841177750759</v>
      </c>
      <c r="T22" s="14">
        <v>25.411190312580572</v>
      </c>
      <c r="U22" s="14">
        <v>26.98558671634521</v>
      </c>
      <c r="V22" s="17">
        <v>1.2476599868973182</v>
      </c>
      <c r="W22" s="20">
        <v>6934</v>
      </c>
      <c r="X22" s="4">
        <v>2.2571614583333333E-2</v>
      </c>
      <c r="Y22" s="8" t="b">
        <v>1</v>
      </c>
      <c r="Z22" s="11"/>
      <c r="AA22" s="4">
        <v>135</v>
      </c>
      <c r="AB22" s="4">
        <v>5</v>
      </c>
      <c r="AC22" s="4">
        <v>39</v>
      </c>
      <c r="AD22" s="4">
        <v>91</v>
      </c>
      <c r="AE22" s="4">
        <v>23.380997436402513</v>
      </c>
      <c r="AF22" s="4">
        <v>3</v>
      </c>
      <c r="AG22" s="20">
        <v>3</v>
      </c>
      <c r="AH22" s="4">
        <v>1</v>
      </c>
      <c r="AI22" s="23" t="s">
        <v>85</v>
      </c>
      <c r="AJ22" s="23">
        <v>11382.915868914375</v>
      </c>
      <c r="AK22" s="23">
        <v>12877.403205726296</v>
      </c>
      <c r="AL22" s="23">
        <v>2991.1885182758169</v>
      </c>
      <c r="AM22" s="23">
        <v>10408.197107056156</v>
      </c>
      <c r="AN22" s="23">
        <v>13104.878299178556</v>
      </c>
    </row>
    <row r="23" spans="1:40">
      <c r="A23" s="4" t="s">
        <v>73</v>
      </c>
      <c r="B23" s="4" t="s">
        <v>154</v>
      </c>
      <c r="C23" s="4" t="s">
        <v>161</v>
      </c>
      <c r="D23" s="4" t="s">
        <v>156</v>
      </c>
      <c r="E23" s="4" t="s">
        <v>77</v>
      </c>
      <c r="F23" s="4" t="s">
        <v>87</v>
      </c>
      <c r="G23" s="4" t="s">
        <v>88</v>
      </c>
      <c r="H23" s="4">
        <v>100</v>
      </c>
      <c r="I23" s="4" t="s">
        <v>162</v>
      </c>
      <c r="J23" s="4">
        <v>3017</v>
      </c>
      <c r="K23" s="4" t="s">
        <v>81</v>
      </c>
      <c r="L23" s="4" t="s">
        <v>163</v>
      </c>
      <c r="M23" s="4" t="s">
        <v>164</v>
      </c>
      <c r="N23" s="14" t="s">
        <v>165</v>
      </c>
      <c r="O23" s="14">
        <v>26.235427036682271</v>
      </c>
      <c r="P23" s="14">
        <v>26.339654876549275</v>
      </c>
      <c r="Q23" s="14">
        <v>25.14064626752554</v>
      </c>
      <c r="R23" s="14">
        <v>27.242856388340897</v>
      </c>
      <c r="S23" s="14">
        <v>0.53929611839107916</v>
      </c>
      <c r="T23" s="14">
        <v>25.411190312580572</v>
      </c>
      <c r="U23" s="14">
        <v>26.85671662718903</v>
      </c>
      <c r="V23" s="17">
        <v>1.2354270366822711</v>
      </c>
      <c r="W23" s="20">
        <v>4859</v>
      </c>
      <c r="X23" s="4">
        <v>1.5817057291666665E-2</v>
      </c>
      <c r="Y23" s="8" t="b">
        <v>1</v>
      </c>
      <c r="Z23" s="11"/>
      <c r="AA23" s="4">
        <v>139</v>
      </c>
      <c r="AB23" s="4">
        <v>11</v>
      </c>
      <c r="AC23" s="4">
        <v>41</v>
      </c>
      <c r="AD23" s="4">
        <v>87</v>
      </c>
      <c r="AE23" s="4">
        <v>31.261603382140368</v>
      </c>
      <c r="AF23" s="4">
        <v>3</v>
      </c>
      <c r="AG23" s="20">
        <v>3</v>
      </c>
      <c r="AH23" s="4">
        <v>1</v>
      </c>
      <c r="AI23" s="23" t="s">
        <v>85</v>
      </c>
      <c r="AJ23" s="23">
        <v>6752.6597863786546</v>
      </c>
      <c r="AK23" s="23">
        <v>6181.413795129396</v>
      </c>
      <c r="AL23" s="23">
        <v>2590.9764559921628</v>
      </c>
      <c r="AM23" s="23">
        <v>5338.194099270273</v>
      </c>
      <c r="AN23" s="23">
        <v>7881.5024778624065</v>
      </c>
    </row>
    <row r="24" spans="1:40">
      <c r="A24" s="4" t="s">
        <v>73</v>
      </c>
      <c r="B24" s="4" t="s">
        <v>166</v>
      </c>
      <c r="C24" s="4" t="s">
        <v>167</v>
      </c>
      <c r="D24" s="4" t="s">
        <v>168</v>
      </c>
      <c r="E24" s="4" t="s">
        <v>169</v>
      </c>
      <c r="F24" s="4" t="s">
        <v>78</v>
      </c>
      <c r="G24" s="4" t="s">
        <v>79</v>
      </c>
      <c r="H24" s="4">
        <v>0</v>
      </c>
      <c r="I24" s="4" t="s">
        <v>170</v>
      </c>
      <c r="J24" s="4">
        <v>3032</v>
      </c>
      <c r="K24" s="4" t="s">
        <v>81</v>
      </c>
      <c r="L24" s="4" t="s">
        <v>171</v>
      </c>
      <c r="M24" s="4" t="s">
        <v>172</v>
      </c>
      <c r="N24" s="14" t="s">
        <v>173</v>
      </c>
      <c r="O24" s="14">
        <v>25.671059665781858</v>
      </c>
      <c r="P24" s="14">
        <v>25.620162426416073</v>
      </c>
      <c r="Q24" s="14">
        <v>24.834344811126186</v>
      </c>
      <c r="R24" s="14">
        <v>28.129923761608097</v>
      </c>
      <c r="S24" s="14">
        <v>0.56706019844655242</v>
      </c>
      <c r="T24" s="14">
        <v>25.000734834992784</v>
      </c>
      <c r="U24" s="14">
        <v>26.31373495947787</v>
      </c>
      <c r="V24" s="17">
        <v>0.67105966578185772</v>
      </c>
      <c r="W24" s="20">
        <v>7754</v>
      </c>
      <c r="X24" s="4">
        <v>2.5240885416666668E-2</v>
      </c>
      <c r="Y24" s="8" t="b">
        <v>1</v>
      </c>
      <c r="Z24" s="11"/>
      <c r="AA24" s="4">
        <v>286</v>
      </c>
      <c r="AB24" s="4">
        <v>8</v>
      </c>
      <c r="AC24" s="4">
        <v>69</v>
      </c>
      <c r="AD24" s="4">
        <v>209</v>
      </c>
      <c r="AE24" s="4">
        <v>37.117802199138801</v>
      </c>
      <c r="AF24" s="4">
        <v>2</v>
      </c>
      <c r="AG24" s="20">
        <v>2</v>
      </c>
      <c r="AH24" s="4">
        <v>1</v>
      </c>
      <c r="AI24" s="23" t="s">
        <v>85</v>
      </c>
      <c r="AJ24" s="23">
        <v>10230.201212704182</v>
      </c>
      <c r="AK24" s="23">
        <v>10230.201212704182</v>
      </c>
      <c r="AL24" s="23">
        <v>3208.1086668971029</v>
      </c>
      <c r="AM24" s="23">
        <v>9095.9635161310434</v>
      </c>
      <c r="AN24" s="23">
        <v>11364.43890927732</v>
      </c>
    </row>
    <row r="25" spans="1:40">
      <c r="A25" s="4" t="s">
        <v>73</v>
      </c>
      <c r="B25" s="4" t="s">
        <v>166</v>
      </c>
      <c r="C25" s="4" t="s">
        <v>174</v>
      </c>
      <c r="D25" s="4" t="s">
        <v>168</v>
      </c>
      <c r="E25" s="4" t="s">
        <v>169</v>
      </c>
      <c r="F25" s="4" t="s">
        <v>87</v>
      </c>
      <c r="G25" s="4" t="s">
        <v>88</v>
      </c>
      <c r="H25" s="4">
        <v>100</v>
      </c>
      <c r="I25" s="4" t="s">
        <v>175</v>
      </c>
      <c r="J25" s="4">
        <v>3018</v>
      </c>
      <c r="K25" s="4" t="s">
        <v>81</v>
      </c>
      <c r="L25" s="4" t="s">
        <v>176</v>
      </c>
      <c r="M25" s="4" t="s">
        <v>177</v>
      </c>
      <c r="N25" s="14" t="s">
        <v>178</v>
      </c>
      <c r="O25" s="14">
        <v>26.771506846634633</v>
      </c>
      <c r="P25" s="14">
        <v>26.925466915520985</v>
      </c>
      <c r="Q25" s="14">
        <v>25.411190312580572</v>
      </c>
      <c r="R25" s="14">
        <v>27.593450537272702</v>
      </c>
      <c r="S25" s="14">
        <v>0.66283716390337066</v>
      </c>
      <c r="T25" s="14">
        <v>25.741869907594889</v>
      </c>
      <c r="U25" s="14">
        <v>27.525132865456271</v>
      </c>
      <c r="V25" s="17">
        <v>1.7715068466346331</v>
      </c>
      <c r="W25" s="20">
        <v>10309</v>
      </c>
      <c r="X25" s="4">
        <v>3.3557942708333337E-2</v>
      </c>
      <c r="Y25" s="8" t="b">
        <v>1</v>
      </c>
      <c r="Z25" s="11"/>
      <c r="AA25" s="4">
        <v>308</v>
      </c>
      <c r="AB25" s="4">
        <v>18</v>
      </c>
      <c r="AC25" s="4">
        <v>51</v>
      </c>
      <c r="AD25" s="4">
        <v>239</v>
      </c>
      <c r="AE25" s="4">
        <v>44.034190117393329</v>
      </c>
      <c r="AF25" s="4">
        <v>3</v>
      </c>
      <c r="AG25" s="20">
        <v>3</v>
      </c>
      <c r="AH25" s="4">
        <v>1</v>
      </c>
      <c r="AI25" s="23" t="s">
        <v>85</v>
      </c>
      <c r="AJ25" s="23">
        <v>14992.607986792922</v>
      </c>
      <c r="AK25" s="23">
        <v>16427.592068761587</v>
      </c>
      <c r="AL25" s="23">
        <v>3049.5504167335521</v>
      </c>
      <c r="AM25" s="23">
        <v>13958.930467411876</v>
      </c>
      <c r="AN25" s="23">
        <v>16743.777547158301</v>
      </c>
    </row>
    <row r="26" spans="1:40">
      <c r="A26" s="4" t="s">
        <v>73</v>
      </c>
      <c r="B26" s="4" t="s">
        <v>179</v>
      </c>
      <c r="C26" s="4" t="s">
        <v>180</v>
      </c>
      <c r="D26" s="4" t="s">
        <v>181</v>
      </c>
      <c r="E26" s="4" t="s">
        <v>77</v>
      </c>
      <c r="F26" s="4" t="s">
        <v>78</v>
      </c>
      <c r="G26" s="4" t="s">
        <v>79</v>
      </c>
      <c r="H26" s="4">
        <v>0</v>
      </c>
      <c r="I26" s="4" t="s">
        <v>182</v>
      </c>
      <c r="J26" s="4">
        <v>3044</v>
      </c>
      <c r="K26" s="4" t="s">
        <v>81</v>
      </c>
      <c r="L26" s="4" t="s">
        <v>183</v>
      </c>
      <c r="M26" s="4" t="s">
        <v>184</v>
      </c>
      <c r="N26" s="14" t="s">
        <v>185</v>
      </c>
      <c r="O26" s="14">
        <v>25.613818976311848</v>
      </c>
      <c r="P26" s="14">
        <v>25.576661071774936</v>
      </c>
      <c r="Q26" s="14">
        <v>24.764205931609126</v>
      </c>
      <c r="R26" s="14">
        <v>26.916875577784936</v>
      </c>
      <c r="S26" s="14">
        <v>0.51562509551472047</v>
      </c>
      <c r="T26" s="14">
        <v>24.96572751534444</v>
      </c>
      <c r="U26" s="14">
        <v>26.296451460550713</v>
      </c>
      <c r="V26" s="17">
        <v>0.61381897631184756</v>
      </c>
      <c r="W26" s="20">
        <v>10107</v>
      </c>
      <c r="X26" s="4">
        <v>3.2900390624999998E-2</v>
      </c>
      <c r="Y26" s="8" t="b">
        <v>1</v>
      </c>
      <c r="Z26" s="11"/>
      <c r="AA26" s="4">
        <v>164</v>
      </c>
      <c r="AB26" s="4">
        <v>0</v>
      </c>
      <c r="AC26" s="4">
        <v>30</v>
      </c>
      <c r="AD26" s="4">
        <v>134</v>
      </c>
      <c r="AE26" s="4">
        <v>15.150210359396871</v>
      </c>
      <c r="AF26" s="4">
        <v>3</v>
      </c>
      <c r="AG26" s="20">
        <v>3</v>
      </c>
      <c r="AH26" s="4">
        <v>1</v>
      </c>
      <c r="AI26" s="23" t="s">
        <v>85</v>
      </c>
      <c r="AJ26" s="23">
        <v>11651.688354227692</v>
      </c>
      <c r="AK26" s="23">
        <v>10006.774370700121</v>
      </c>
      <c r="AL26" s="23">
        <v>3866.9757741347862</v>
      </c>
      <c r="AM26" s="23">
        <v>9442.9480275195092</v>
      </c>
      <c r="AN26" s="23">
        <v>13037.971689172089</v>
      </c>
    </row>
    <row r="27" spans="1:40">
      <c r="A27" s="4" t="s">
        <v>73</v>
      </c>
      <c r="B27" s="4" t="s">
        <v>179</v>
      </c>
      <c r="C27" s="4" t="s">
        <v>186</v>
      </c>
      <c r="D27" s="4" t="s">
        <v>181</v>
      </c>
      <c r="E27" s="4" t="s">
        <v>77</v>
      </c>
      <c r="F27" s="4" t="s">
        <v>87</v>
      </c>
      <c r="G27" s="4" t="s">
        <v>88</v>
      </c>
      <c r="H27" s="4">
        <v>100</v>
      </c>
      <c r="I27" s="4" t="s">
        <v>187</v>
      </c>
      <c r="J27" s="4">
        <v>3019</v>
      </c>
      <c r="K27" s="4" t="s">
        <v>81</v>
      </c>
      <c r="L27" s="4" t="s">
        <v>188</v>
      </c>
      <c r="M27" s="4" t="s">
        <v>189</v>
      </c>
      <c r="N27" s="14" t="s">
        <v>190</v>
      </c>
      <c r="O27" s="14">
        <v>25.867037632293229</v>
      </c>
      <c r="P27" s="14">
        <v>25.993528489846426</v>
      </c>
      <c r="Q27" s="14">
        <v>24.94821942839252</v>
      </c>
      <c r="R27" s="14">
        <v>26.426008450386234</v>
      </c>
      <c r="S27" s="14">
        <v>0.42158514794885193</v>
      </c>
      <c r="T27" s="14">
        <v>25.227995395636924</v>
      </c>
      <c r="U27" s="14">
        <v>26.305093565548589</v>
      </c>
      <c r="V27" s="17">
        <v>0.86703763229322917</v>
      </c>
      <c r="W27" s="20">
        <v>6003</v>
      </c>
      <c r="X27" s="4">
        <v>1.9541015625000002E-2</v>
      </c>
      <c r="Y27" s="8" t="b">
        <v>1</v>
      </c>
      <c r="Z27" s="11"/>
      <c r="AA27" s="4">
        <v>232</v>
      </c>
      <c r="AB27" s="4">
        <v>7</v>
      </c>
      <c r="AC27" s="4">
        <v>87</v>
      </c>
      <c r="AD27" s="4">
        <v>138</v>
      </c>
      <c r="AE27" s="4">
        <v>53.029274121092669</v>
      </c>
      <c r="AF27" s="4">
        <v>3</v>
      </c>
      <c r="AG27" s="20">
        <v>3</v>
      </c>
      <c r="AH27" s="4">
        <v>1</v>
      </c>
      <c r="AI27" s="23" t="s">
        <v>85</v>
      </c>
      <c r="AJ27" s="23">
        <v>13669.80415498217</v>
      </c>
      <c r="AK27" s="23">
        <v>12374.59179982543</v>
      </c>
      <c r="AL27" s="23">
        <v>2890.6110049343174</v>
      </c>
      <c r="AM27" s="23">
        <v>12013.949012205005</v>
      </c>
      <c r="AN27" s="23">
        <v>14678.053120180964</v>
      </c>
    </row>
    <row r="28" spans="1:40">
      <c r="A28" s="4" t="s">
        <v>73</v>
      </c>
      <c r="B28" s="4" t="s">
        <v>191</v>
      </c>
      <c r="C28" s="4" t="s">
        <v>192</v>
      </c>
      <c r="D28" s="4" t="s">
        <v>193</v>
      </c>
      <c r="E28" s="4" t="s">
        <v>169</v>
      </c>
      <c r="F28" s="4" t="s">
        <v>78</v>
      </c>
      <c r="G28" s="4" t="s">
        <v>79</v>
      </c>
      <c r="H28" s="4">
        <v>0</v>
      </c>
      <c r="I28" s="4" t="s">
        <v>194</v>
      </c>
      <c r="J28" s="4">
        <v>3031</v>
      </c>
      <c r="K28" s="4" t="s">
        <v>81</v>
      </c>
      <c r="L28" s="4" t="s">
        <v>195</v>
      </c>
      <c r="M28" s="4" t="s">
        <v>196</v>
      </c>
      <c r="N28" s="14" t="s">
        <v>197</v>
      </c>
      <c r="O28" s="14">
        <v>26.069174707918492</v>
      </c>
      <c r="P28" s="14">
        <v>26.19269067539841</v>
      </c>
      <c r="Q28" s="14">
        <v>25.009484821317244</v>
      </c>
      <c r="R28" s="14">
        <v>27.242856388340897</v>
      </c>
      <c r="S28" s="14">
        <v>0.43777953589222834</v>
      </c>
      <c r="T28" s="14">
        <v>25.358881779284218</v>
      </c>
      <c r="U28" s="14">
        <v>26.451900695198162</v>
      </c>
      <c r="V28" s="17">
        <v>1.0691747079184921</v>
      </c>
      <c r="W28" s="20">
        <v>11522</v>
      </c>
      <c r="X28" s="4">
        <v>3.7506510416666666E-2</v>
      </c>
      <c r="Y28" s="8" t="b">
        <v>1</v>
      </c>
      <c r="Z28" s="11"/>
      <c r="AA28" s="4">
        <v>142</v>
      </c>
      <c r="AB28" s="4">
        <v>4</v>
      </c>
      <c r="AC28" s="4">
        <v>31</v>
      </c>
      <c r="AD28" s="4">
        <v>107</v>
      </c>
      <c r="AE28" s="4">
        <v>18.496418477868591</v>
      </c>
      <c r="AF28" s="4">
        <v>2</v>
      </c>
      <c r="AG28" s="20">
        <v>2</v>
      </c>
      <c r="AH28" s="4">
        <v>1</v>
      </c>
      <c r="AI28" s="23" t="s">
        <v>85</v>
      </c>
      <c r="AJ28" s="23">
        <v>9574.0217822790146</v>
      </c>
      <c r="AK28" s="23">
        <v>9574.0217822790146</v>
      </c>
      <c r="AL28" s="23">
        <v>2817.4856052461892</v>
      </c>
      <c r="AM28" s="23">
        <v>8577.8901935964823</v>
      </c>
      <c r="AN28" s="23">
        <v>10570.153370961547</v>
      </c>
    </row>
    <row r="29" spans="1:40">
      <c r="A29" s="4" t="s">
        <v>73</v>
      </c>
      <c r="B29" s="4" t="s">
        <v>191</v>
      </c>
      <c r="C29" s="4" t="s">
        <v>198</v>
      </c>
      <c r="D29" s="4" t="s">
        <v>193</v>
      </c>
      <c r="E29" s="4" t="s">
        <v>169</v>
      </c>
      <c r="F29" s="4" t="s">
        <v>87</v>
      </c>
      <c r="G29" s="4" t="s">
        <v>88</v>
      </c>
      <c r="H29" s="4">
        <v>100</v>
      </c>
      <c r="I29" s="4" t="s">
        <v>199</v>
      </c>
      <c r="J29" s="4">
        <v>3020</v>
      </c>
      <c r="K29" s="4" t="s">
        <v>81</v>
      </c>
      <c r="L29" s="4" t="s">
        <v>200</v>
      </c>
      <c r="M29" s="4" t="s">
        <v>201</v>
      </c>
      <c r="N29" s="14" t="s">
        <v>202</v>
      </c>
      <c r="O29" s="14">
        <v>25.71048394974644</v>
      </c>
      <c r="P29" s="14">
        <v>25.767931648942465</v>
      </c>
      <c r="Q29" s="14">
        <v>24.729118686494189</v>
      </c>
      <c r="R29" s="14">
        <v>26.607120474336853</v>
      </c>
      <c r="S29" s="14">
        <v>0.49155128532382419</v>
      </c>
      <c r="T29" s="14">
        <v>25.009484821317244</v>
      </c>
      <c r="U29" s="14">
        <v>26.296451460550713</v>
      </c>
      <c r="V29" s="17">
        <v>0.71048394974643969</v>
      </c>
      <c r="W29" s="20">
        <v>6432</v>
      </c>
      <c r="X29" s="4">
        <v>2.0937500000000001E-2</v>
      </c>
      <c r="Y29" s="8" t="b">
        <v>1</v>
      </c>
      <c r="Z29" s="11"/>
      <c r="AA29" s="4">
        <v>218</v>
      </c>
      <c r="AB29" s="4">
        <v>17</v>
      </c>
      <c r="AC29" s="4">
        <v>60</v>
      </c>
      <c r="AD29" s="4">
        <v>141</v>
      </c>
      <c r="AE29" s="4">
        <v>46.305888220454321</v>
      </c>
      <c r="AF29" s="4">
        <v>2</v>
      </c>
      <c r="AG29" s="20">
        <v>2</v>
      </c>
      <c r="AH29" s="4">
        <v>1</v>
      </c>
      <c r="AI29" s="23" t="s">
        <v>85</v>
      </c>
      <c r="AJ29" s="23">
        <v>10004.817087389529</v>
      </c>
      <c r="AK29" s="23">
        <v>10004.817087389529</v>
      </c>
      <c r="AL29" s="23">
        <v>4815.3786701962445</v>
      </c>
      <c r="AM29" s="23">
        <v>8302.3236315511167</v>
      </c>
      <c r="AN29" s="23">
        <v>11707.310543227941</v>
      </c>
    </row>
    <row r="30" spans="1:40">
      <c r="A30" s="4" t="s">
        <v>73</v>
      </c>
      <c r="B30" s="4" t="s">
        <v>203</v>
      </c>
      <c r="C30" s="4" t="s">
        <v>204</v>
      </c>
      <c r="D30" s="4" t="s">
        <v>205</v>
      </c>
      <c r="E30" s="4" t="s">
        <v>77</v>
      </c>
      <c r="F30" s="4" t="s">
        <v>78</v>
      </c>
      <c r="G30" s="4" t="s">
        <v>79</v>
      </c>
      <c r="H30" s="4">
        <v>0</v>
      </c>
      <c r="I30" s="4" t="s">
        <v>206</v>
      </c>
      <c r="J30" s="4">
        <v>3050</v>
      </c>
      <c r="K30" s="4" t="s">
        <v>81</v>
      </c>
      <c r="L30" s="4" t="s">
        <v>207</v>
      </c>
      <c r="M30" s="4" t="s">
        <v>208</v>
      </c>
      <c r="N30" s="14" t="s">
        <v>209</v>
      </c>
      <c r="O30" s="14">
        <v>25.886769921969318</v>
      </c>
      <c r="P30" s="14">
        <v>25.837397883334745</v>
      </c>
      <c r="Q30" s="14">
        <v>25.061969266956282</v>
      </c>
      <c r="R30" s="14">
        <v>30.132694022180829</v>
      </c>
      <c r="S30" s="14">
        <v>0.62412984897850288</v>
      </c>
      <c r="T30" s="14">
        <v>25.201798357683913</v>
      </c>
      <c r="U30" s="14">
        <v>26.503666068122754</v>
      </c>
      <c r="V30" s="17">
        <v>0.88676992196931792</v>
      </c>
      <c r="W30" s="20">
        <v>10436</v>
      </c>
      <c r="X30" s="4">
        <v>3.3971354166666669E-2</v>
      </c>
      <c r="Y30" s="8" t="b">
        <v>1</v>
      </c>
      <c r="Z30" s="11"/>
      <c r="AA30" s="4">
        <v>85</v>
      </c>
      <c r="AB30" s="4">
        <v>0</v>
      </c>
      <c r="AC30" s="4">
        <v>30</v>
      </c>
      <c r="AD30" s="4">
        <v>55</v>
      </c>
      <c r="AE30" s="4">
        <v>12.828063332499736</v>
      </c>
      <c r="AF30" s="4">
        <v>2</v>
      </c>
      <c r="AG30" s="20">
        <v>2</v>
      </c>
      <c r="AH30" s="4">
        <v>1</v>
      </c>
      <c r="AI30" s="23" t="s">
        <v>85</v>
      </c>
      <c r="AJ30" s="23">
        <v>17451.377138540149</v>
      </c>
      <c r="AK30" s="23">
        <v>17451.377138540149</v>
      </c>
      <c r="AL30" s="23">
        <v>9202.7882092203836</v>
      </c>
      <c r="AM30" s="23">
        <v>14197.70016425848</v>
      </c>
      <c r="AN30" s="23">
        <v>20705.054112821817</v>
      </c>
    </row>
    <row r="31" spans="1:40">
      <c r="A31" s="4" t="s">
        <v>73</v>
      </c>
      <c r="B31" s="4" t="s">
        <v>203</v>
      </c>
      <c r="C31" s="4" t="s">
        <v>210</v>
      </c>
      <c r="D31" s="4" t="s">
        <v>205</v>
      </c>
      <c r="E31" s="4" t="s">
        <v>77</v>
      </c>
      <c r="F31" s="4" t="s">
        <v>87</v>
      </c>
      <c r="G31" s="4" t="s">
        <v>88</v>
      </c>
      <c r="H31" s="4">
        <v>100</v>
      </c>
      <c r="I31" s="4" t="s">
        <v>211</v>
      </c>
      <c r="J31" s="4">
        <v>3021</v>
      </c>
      <c r="K31" s="4" t="s">
        <v>81</v>
      </c>
      <c r="L31" s="4" t="s">
        <v>212</v>
      </c>
      <c r="M31" s="4" t="s">
        <v>213</v>
      </c>
      <c r="N31" s="14" t="s">
        <v>214</v>
      </c>
      <c r="O31" s="14">
        <v>25.773783262747813</v>
      </c>
      <c r="P31" s="14">
        <v>25.846077919360255</v>
      </c>
      <c r="Q31" s="14">
        <v>25.000734834992784</v>
      </c>
      <c r="R31" s="14">
        <v>26.49504027491065</v>
      </c>
      <c r="S31" s="14">
        <v>0.40063877625817335</v>
      </c>
      <c r="T31" s="14">
        <v>25.175594721457458</v>
      </c>
      <c r="U31" s="14">
        <v>26.287808644314396</v>
      </c>
      <c r="V31" s="17">
        <v>0.77378326274781273</v>
      </c>
      <c r="W31" s="20">
        <v>4703</v>
      </c>
      <c r="X31" s="4">
        <v>1.5309244791666666E-2</v>
      </c>
      <c r="Y31" s="8" t="b">
        <v>1</v>
      </c>
      <c r="Z31" s="11"/>
      <c r="AA31" s="4">
        <v>169</v>
      </c>
      <c r="AB31" s="4">
        <v>4</v>
      </c>
      <c r="AC31" s="4">
        <v>47</v>
      </c>
      <c r="AD31" s="4">
        <v>118</v>
      </c>
      <c r="AE31" s="4">
        <v>25.142004626440286</v>
      </c>
      <c r="AF31" s="4">
        <v>2</v>
      </c>
      <c r="AG31" s="20">
        <v>2</v>
      </c>
      <c r="AH31" s="4">
        <v>1</v>
      </c>
      <c r="AI31" s="23" t="s">
        <v>85</v>
      </c>
      <c r="AJ31" s="23">
        <v>10268.51840172708</v>
      </c>
      <c r="AK31" s="23">
        <v>10268.51840172708</v>
      </c>
      <c r="AL31" s="23">
        <v>2588.0344517447343</v>
      </c>
      <c r="AM31" s="23">
        <v>9353.5100463405252</v>
      </c>
      <c r="AN31" s="23">
        <v>11183.526757113636</v>
      </c>
    </row>
    <row r="32" spans="1:40">
      <c r="A32" s="4" t="s">
        <v>73</v>
      </c>
      <c r="B32" s="4" t="s">
        <v>215</v>
      </c>
      <c r="C32" s="4" t="s">
        <v>216</v>
      </c>
      <c r="D32" s="4" t="s">
        <v>217</v>
      </c>
      <c r="E32" s="4" t="s">
        <v>77</v>
      </c>
      <c r="F32" s="4" t="s">
        <v>78</v>
      </c>
      <c r="G32" s="4" t="s">
        <v>79</v>
      </c>
      <c r="H32" s="4">
        <v>0</v>
      </c>
      <c r="I32" s="4" t="s">
        <v>218</v>
      </c>
      <c r="J32" s="4">
        <v>3034</v>
      </c>
      <c r="K32" s="4" t="s">
        <v>81</v>
      </c>
      <c r="L32" s="4" t="s">
        <v>219</v>
      </c>
      <c r="M32" s="4" t="s">
        <v>220</v>
      </c>
      <c r="N32" s="14" t="s">
        <v>221</v>
      </c>
      <c r="O32" s="14">
        <v>24.082171387903266</v>
      </c>
      <c r="P32" s="14">
        <v>24.060189373878131</v>
      </c>
      <c r="Q32" s="14">
        <v>23.901121461975492</v>
      </c>
      <c r="R32" s="14">
        <v>25.73318121624726</v>
      </c>
      <c r="S32" s="14">
        <v>9.6644328331895846E-2</v>
      </c>
      <c r="T32" s="14">
        <v>23.989522864611388</v>
      </c>
      <c r="U32" s="14">
        <v>24.201377166180464</v>
      </c>
      <c r="V32" s="17">
        <v>-0.91782861209673428</v>
      </c>
      <c r="W32" s="20">
        <v>234520</v>
      </c>
      <c r="X32" s="4">
        <v>0.76341145833333335</v>
      </c>
      <c r="Y32" s="8" t="b">
        <v>0</v>
      </c>
      <c r="Z32" s="11" t="s">
        <v>93</v>
      </c>
      <c r="AA32" s="4">
        <v>302</v>
      </c>
      <c r="AB32" s="4">
        <v>11</v>
      </c>
      <c r="AC32" s="4">
        <v>72</v>
      </c>
      <c r="AD32" s="4">
        <v>219</v>
      </c>
      <c r="AE32" s="4">
        <v>47.246412632144569</v>
      </c>
      <c r="AF32" s="4">
        <v>3</v>
      </c>
      <c r="AG32" s="20">
        <v>3</v>
      </c>
      <c r="AH32" s="4">
        <v>1</v>
      </c>
      <c r="AI32" s="23" t="s">
        <v>85</v>
      </c>
      <c r="AJ32" s="23">
        <v>12848.641767506799</v>
      </c>
      <c r="AK32" s="23">
        <v>13168.755061112344</v>
      </c>
      <c r="AL32" s="23">
        <v>938.66581551465049</v>
      </c>
      <c r="AM32" s="23">
        <v>12480.27319008857</v>
      </c>
      <c r="AN32" s="23">
        <v>13377.066991727799</v>
      </c>
    </row>
    <row r="33" spans="1:40">
      <c r="A33" s="4" t="s">
        <v>73</v>
      </c>
      <c r="B33" s="4" t="s">
        <v>215</v>
      </c>
      <c r="C33" s="4" t="s">
        <v>222</v>
      </c>
      <c r="D33" s="4" t="s">
        <v>217</v>
      </c>
      <c r="E33" s="4" t="s">
        <v>77</v>
      </c>
      <c r="F33" s="4" t="s">
        <v>87</v>
      </c>
      <c r="G33" s="4" t="s">
        <v>88</v>
      </c>
      <c r="H33" s="4">
        <v>100</v>
      </c>
      <c r="I33" s="4" t="s">
        <v>223</v>
      </c>
      <c r="J33" s="4">
        <v>3023</v>
      </c>
      <c r="K33" s="4" t="s">
        <v>81</v>
      </c>
      <c r="L33" s="4" t="s">
        <v>224</v>
      </c>
      <c r="M33" s="4" t="s">
        <v>225</v>
      </c>
      <c r="N33" s="14" t="s">
        <v>226</v>
      </c>
      <c r="O33" s="14">
        <v>25.271365666971679</v>
      </c>
      <c r="P33" s="14">
        <v>25.201798357683913</v>
      </c>
      <c r="Q33" s="14">
        <v>24.491968310726804</v>
      </c>
      <c r="R33" s="14">
        <v>28.342063783342383</v>
      </c>
      <c r="S33" s="14">
        <v>0.45825214882569854</v>
      </c>
      <c r="T33" s="14">
        <v>24.808048291399814</v>
      </c>
      <c r="U33" s="14">
        <v>25.599283951500404</v>
      </c>
      <c r="V33" s="17">
        <v>0.27136566697167908</v>
      </c>
      <c r="W33" s="20">
        <v>4875</v>
      </c>
      <c r="X33" s="4">
        <v>1.5869140625E-2</v>
      </c>
      <c r="Y33" s="8" t="b">
        <v>1</v>
      </c>
      <c r="Z33" s="11"/>
      <c r="AA33" s="4">
        <v>207</v>
      </c>
      <c r="AB33" s="4">
        <v>26</v>
      </c>
      <c r="AC33" s="4">
        <v>67</v>
      </c>
      <c r="AD33" s="4">
        <v>114</v>
      </c>
      <c r="AE33" s="4">
        <v>58.1776937551017</v>
      </c>
      <c r="AF33" s="4">
        <v>3</v>
      </c>
      <c r="AG33" s="20">
        <v>3</v>
      </c>
      <c r="AH33" s="4">
        <v>1</v>
      </c>
      <c r="AI33" s="23" t="s">
        <v>85</v>
      </c>
      <c r="AJ33" s="23">
        <v>8891.908637970686</v>
      </c>
      <c r="AK33" s="23">
        <v>9644.5411538481712</v>
      </c>
      <c r="AL33" s="23">
        <v>4498.261148448415</v>
      </c>
      <c r="AM33" s="23">
        <v>6854.6728927195072</v>
      </c>
      <c r="AN33" s="23">
        <v>11305.460641160607</v>
      </c>
    </row>
    <row r="34" spans="1:40">
      <c r="A34" s="4" t="s">
        <v>73</v>
      </c>
      <c r="B34" s="4" t="s">
        <v>227</v>
      </c>
      <c r="C34" s="4" t="s">
        <v>228</v>
      </c>
      <c r="D34" s="4" t="s">
        <v>229</v>
      </c>
      <c r="E34" s="4" t="s">
        <v>169</v>
      </c>
      <c r="F34" s="4" t="s">
        <v>78</v>
      </c>
      <c r="G34" s="4" t="s">
        <v>79</v>
      </c>
      <c r="H34" s="4">
        <v>0</v>
      </c>
      <c r="I34" s="4" t="s">
        <v>230</v>
      </c>
      <c r="J34" s="4">
        <v>3047</v>
      </c>
      <c r="K34" s="4" t="s">
        <v>81</v>
      </c>
      <c r="L34" s="4" t="s">
        <v>231</v>
      </c>
      <c r="M34" s="4" t="s">
        <v>232</v>
      </c>
      <c r="N34" s="14" t="s">
        <v>233</v>
      </c>
      <c r="O34" s="14">
        <v>26.084708024553429</v>
      </c>
      <c r="P34" s="14">
        <v>25.993528489846426</v>
      </c>
      <c r="Q34" s="14">
        <v>25.227995395636924</v>
      </c>
      <c r="R34" s="14">
        <v>28.095942193562394</v>
      </c>
      <c r="S34" s="14">
        <v>0.55558660135789728</v>
      </c>
      <c r="T34" s="14">
        <v>25.428620657363012</v>
      </c>
      <c r="U34" s="14">
        <v>26.873908398020205</v>
      </c>
      <c r="V34" s="17">
        <v>1.0847080245534286</v>
      </c>
      <c r="W34" s="20">
        <v>5222</v>
      </c>
      <c r="X34" s="4">
        <v>1.6998697916666666E-2</v>
      </c>
      <c r="Y34" s="8" t="b">
        <v>1</v>
      </c>
      <c r="Z34" s="11"/>
      <c r="AA34" s="4">
        <v>173</v>
      </c>
      <c r="AB34" s="4">
        <v>6</v>
      </c>
      <c r="AC34" s="4">
        <v>68</v>
      </c>
      <c r="AD34" s="4">
        <v>99</v>
      </c>
      <c r="AE34" s="4">
        <v>42.475021312552784</v>
      </c>
      <c r="AF34" s="4">
        <v>3</v>
      </c>
      <c r="AG34" s="20">
        <v>3</v>
      </c>
      <c r="AH34" s="4">
        <v>1</v>
      </c>
      <c r="AI34" s="23" t="s">
        <v>85</v>
      </c>
      <c r="AJ34" s="23">
        <v>9860.2547115435209</v>
      </c>
      <c r="AK34" s="23">
        <v>10708.698265969753</v>
      </c>
      <c r="AL34" s="23">
        <v>3322.6658852373657</v>
      </c>
      <c r="AM34" s="23">
        <v>8452.1637426540256</v>
      </c>
      <c r="AN34" s="23">
        <v>11692.567457646132</v>
      </c>
    </row>
    <row r="35" spans="1:40">
      <c r="A35" s="4" t="s">
        <v>73</v>
      </c>
      <c r="B35" s="4" t="s">
        <v>227</v>
      </c>
      <c r="C35" s="4" t="s">
        <v>234</v>
      </c>
      <c r="D35" s="4" t="s">
        <v>229</v>
      </c>
      <c r="E35" s="4" t="s">
        <v>169</v>
      </c>
      <c r="F35" s="4" t="s">
        <v>87</v>
      </c>
      <c r="G35" s="4" t="s">
        <v>88</v>
      </c>
      <c r="H35" s="4">
        <v>100</v>
      </c>
      <c r="I35" s="4" t="s">
        <v>235</v>
      </c>
      <c r="J35" s="4">
        <v>3024</v>
      </c>
      <c r="K35" s="4" t="s">
        <v>81</v>
      </c>
      <c r="L35" s="4" t="s">
        <v>236</v>
      </c>
      <c r="M35" s="4" t="s">
        <v>237</v>
      </c>
      <c r="N35" s="14" t="s">
        <v>238</v>
      </c>
      <c r="O35" s="14">
        <v>26.066198888022619</v>
      </c>
      <c r="P35" s="14">
        <v>26.132116136509637</v>
      </c>
      <c r="Q35" s="14">
        <v>25.271642475777071</v>
      </c>
      <c r="R35" s="14">
        <v>26.701864468765962</v>
      </c>
      <c r="S35" s="14">
        <v>0.37191069392305848</v>
      </c>
      <c r="T35" s="14">
        <v>25.454760710966582</v>
      </c>
      <c r="U35" s="14">
        <v>26.503666068122754</v>
      </c>
      <c r="V35" s="17">
        <v>1.066198888022619</v>
      </c>
      <c r="W35" s="20">
        <v>5473</v>
      </c>
      <c r="X35" s="4">
        <v>1.7815755208333332E-2</v>
      </c>
      <c r="Y35" s="8" t="b">
        <v>1</v>
      </c>
      <c r="Z35" s="11"/>
      <c r="AA35" s="4">
        <v>227</v>
      </c>
      <c r="AB35" s="4">
        <v>28</v>
      </c>
      <c r="AC35" s="4">
        <v>77</v>
      </c>
      <c r="AD35" s="4">
        <v>122</v>
      </c>
      <c r="AE35" s="4">
        <v>66.296532693342655</v>
      </c>
      <c r="AF35" s="4">
        <v>3</v>
      </c>
      <c r="AG35" s="20">
        <v>3</v>
      </c>
      <c r="AH35" s="4">
        <v>1</v>
      </c>
      <c r="AI35" s="23" t="s">
        <v>85</v>
      </c>
      <c r="AJ35" s="23">
        <v>11072.469651607797</v>
      </c>
      <c r="AK35" s="23">
        <v>10574.155366435647</v>
      </c>
      <c r="AL35" s="23">
        <v>1550.6260766087473</v>
      </c>
      <c r="AM35" s="23">
        <v>10203.209372409619</v>
      </c>
      <c r="AN35" s="23">
        <v>11692.572788219899</v>
      </c>
    </row>
    <row r="36" spans="1:40">
      <c r="A36" s="4" t="s">
        <v>73</v>
      </c>
      <c r="B36" s="4" t="s">
        <v>239</v>
      </c>
      <c r="C36" s="4" t="s">
        <v>240</v>
      </c>
      <c r="D36" s="4" t="s">
        <v>241</v>
      </c>
      <c r="E36" s="4" t="s">
        <v>242</v>
      </c>
      <c r="F36" s="4" t="s">
        <v>78</v>
      </c>
      <c r="G36" s="4" t="s">
        <v>79</v>
      </c>
      <c r="H36" s="4">
        <v>0</v>
      </c>
      <c r="I36" s="4" t="s">
        <v>243</v>
      </c>
      <c r="J36" s="4">
        <v>3054</v>
      </c>
      <c r="K36" s="4" t="s">
        <v>81</v>
      </c>
      <c r="L36" s="4" t="s">
        <v>244</v>
      </c>
      <c r="M36" s="4" t="s">
        <v>245</v>
      </c>
      <c r="N36" s="14" t="s">
        <v>246</v>
      </c>
      <c r="O36" s="14">
        <v>26.136908324035144</v>
      </c>
      <c r="P36" s="14">
        <v>26.158080936605018</v>
      </c>
      <c r="Q36" s="14">
        <v>25.297821941810696</v>
      </c>
      <c r="R36" s="14">
        <v>27.465318805652828</v>
      </c>
      <c r="S36" s="14">
        <v>0.44685456679459412</v>
      </c>
      <c r="T36" s="14">
        <v>25.507021166757511</v>
      </c>
      <c r="U36" s="14">
        <v>26.701864468765962</v>
      </c>
      <c r="V36" s="17">
        <v>1.1369083240351436</v>
      </c>
      <c r="W36" s="20">
        <v>5262</v>
      </c>
      <c r="X36" s="4">
        <v>1.7128906249999999E-2</v>
      </c>
      <c r="Y36" s="8" t="b">
        <v>1</v>
      </c>
      <c r="Z36" s="11"/>
      <c r="AA36" s="4">
        <v>147</v>
      </c>
      <c r="AB36" s="4">
        <v>5</v>
      </c>
      <c r="AC36" s="4">
        <v>41</v>
      </c>
      <c r="AD36" s="4">
        <v>101</v>
      </c>
      <c r="AE36" s="4">
        <v>26.005332089721737</v>
      </c>
      <c r="AF36" s="4">
        <v>3</v>
      </c>
      <c r="AG36" s="20">
        <v>3</v>
      </c>
      <c r="AH36" s="4">
        <v>1</v>
      </c>
      <c r="AI36" s="23" t="s">
        <v>85</v>
      </c>
      <c r="AJ36" s="23">
        <v>7561.3912971119089</v>
      </c>
      <c r="AK36" s="23">
        <v>8320.218030244112</v>
      </c>
      <c r="AL36" s="23">
        <v>1449.4227893398511</v>
      </c>
      <c r="AM36" s="23">
        <v>7105.1562426835299</v>
      </c>
      <c r="AN36" s="23">
        <v>8397.039718106389</v>
      </c>
    </row>
    <row r="37" spans="1:40">
      <c r="A37" s="4" t="s">
        <v>73</v>
      </c>
      <c r="B37" s="4" t="s">
        <v>239</v>
      </c>
      <c r="C37" s="4" t="s">
        <v>247</v>
      </c>
      <c r="D37" s="4" t="s">
        <v>241</v>
      </c>
      <c r="E37" s="4" t="s">
        <v>242</v>
      </c>
      <c r="F37" s="4" t="s">
        <v>87</v>
      </c>
      <c r="G37" s="4" t="s">
        <v>88</v>
      </c>
      <c r="H37" s="4">
        <v>100</v>
      </c>
      <c r="I37" s="4" t="s">
        <v>248</v>
      </c>
      <c r="J37" s="4">
        <v>3026</v>
      </c>
      <c r="K37" s="4" t="s">
        <v>81</v>
      </c>
      <c r="L37" s="4" t="s">
        <v>249</v>
      </c>
      <c r="M37" s="4" t="s">
        <v>250</v>
      </c>
      <c r="N37" s="14" t="s">
        <v>251</v>
      </c>
      <c r="O37" s="14">
        <v>26.308308604431787</v>
      </c>
      <c r="P37" s="14">
        <v>26.31373495947787</v>
      </c>
      <c r="Q37" s="14">
        <v>25.463472605920515</v>
      </c>
      <c r="R37" s="14">
        <v>29.597783394421526</v>
      </c>
      <c r="S37" s="14">
        <v>0.58672560261157591</v>
      </c>
      <c r="T37" s="14">
        <v>25.628860522626894</v>
      </c>
      <c r="U37" s="14">
        <v>26.710473335830841</v>
      </c>
      <c r="V37" s="17">
        <v>1.3083086044317866</v>
      </c>
      <c r="W37" s="20">
        <v>6948</v>
      </c>
      <c r="X37" s="4">
        <v>2.26171875E-2</v>
      </c>
      <c r="Y37" s="8" t="b">
        <v>1</v>
      </c>
      <c r="Z37" s="11"/>
      <c r="AA37" s="4">
        <v>146</v>
      </c>
      <c r="AB37" s="4">
        <v>0</v>
      </c>
      <c r="AC37" s="4">
        <v>34</v>
      </c>
      <c r="AD37" s="4">
        <v>112</v>
      </c>
      <c r="AE37" s="4">
        <v>13.966949392339348</v>
      </c>
      <c r="AF37" s="4">
        <v>2</v>
      </c>
      <c r="AG37" s="20">
        <v>2</v>
      </c>
      <c r="AH37" s="4">
        <v>1</v>
      </c>
      <c r="AI37" s="23" t="s">
        <v>85</v>
      </c>
      <c r="AJ37" s="23">
        <v>11373.528651468456</v>
      </c>
      <c r="AK37" s="23">
        <v>11373.528651468456</v>
      </c>
      <c r="AL37" s="23">
        <v>198.22951948698977</v>
      </c>
      <c r="AM37" s="23">
        <v>11303.443932738155</v>
      </c>
      <c r="AN37" s="23">
        <v>11443.613370198756</v>
      </c>
    </row>
    <row r="38" spans="1:40">
      <c r="A38" s="4" t="s">
        <v>73</v>
      </c>
      <c r="B38" s="4" t="s">
        <v>252</v>
      </c>
      <c r="C38" s="4" t="s">
        <v>253</v>
      </c>
      <c r="D38" s="4" t="s">
        <v>254</v>
      </c>
      <c r="E38" s="4" t="s">
        <v>77</v>
      </c>
      <c r="F38" s="4" t="s">
        <v>78</v>
      </c>
      <c r="G38" s="4" t="s">
        <v>79</v>
      </c>
      <c r="H38" s="4">
        <v>0</v>
      </c>
      <c r="I38" s="4" t="s">
        <v>255</v>
      </c>
      <c r="J38" s="4">
        <v>3043</v>
      </c>
      <c r="K38" s="4" t="s">
        <v>81</v>
      </c>
      <c r="L38" s="4" t="s">
        <v>256</v>
      </c>
      <c r="M38" s="4" t="s">
        <v>257</v>
      </c>
      <c r="N38" s="14" t="s">
        <v>258</v>
      </c>
      <c r="O38" s="14">
        <v>26.006031550721946</v>
      </c>
      <c r="P38" s="14">
        <v>26.010861972296766</v>
      </c>
      <c r="Q38" s="14">
        <v>25.254185840121579</v>
      </c>
      <c r="R38" s="14">
        <v>28.044949529185601</v>
      </c>
      <c r="S38" s="14">
        <v>0.42256503921381716</v>
      </c>
      <c r="T38" s="14">
        <v>25.419905849327336</v>
      </c>
      <c r="U38" s="14">
        <v>26.43463990713218</v>
      </c>
      <c r="V38" s="17">
        <v>1.0060315507219464</v>
      </c>
      <c r="W38" s="20">
        <v>7873</v>
      </c>
      <c r="X38" s="4">
        <v>2.5628255208333332E-2</v>
      </c>
      <c r="Y38" s="8" t="b">
        <v>1</v>
      </c>
      <c r="Z38" s="11"/>
      <c r="AA38" s="4">
        <v>154</v>
      </c>
      <c r="AB38" s="4">
        <v>12</v>
      </c>
      <c r="AC38" s="4">
        <v>51</v>
      </c>
      <c r="AD38" s="4">
        <v>91</v>
      </c>
      <c r="AE38" s="4">
        <v>39.237481776634944</v>
      </c>
      <c r="AF38" s="4">
        <v>2</v>
      </c>
      <c r="AG38" s="20">
        <v>2</v>
      </c>
      <c r="AH38" s="4">
        <v>1</v>
      </c>
      <c r="AI38" s="23" t="s">
        <v>85</v>
      </c>
      <c r="AJ38" s="23">
        <v>6918.0359421297908</v>
      </c>
      <c r="AK38" s="23">
        <v>6918.0359421297908</v>
      </c>
      <c r="AL38" s="23">
        <v>122.83475509567481</v>
      </c>
      <c r="AM38" s="23">
        <v>6874.6072979830205</v>
      </c>
      <c r="AN38" s="23">
        <v>6961.464586276561</v>
      </c>
    </row>
    <row r="39" spans="1:40">
      <c r="A39" s="4" t="s">
        <v>73</v>
      </c>
      <c r="B39" s="4" t="s">
        <v>252</v>
      </c>
      <c r="C39" s="4" t="s">
        <v>259</v>
      </c>
      <c r="D39" s="4" t="s">
        <v>254</v>
      </c>
      <c r="E39" s="4" t="s">
        <v>77</v>
      </c>
      <c r="F39" s="4" t="s">
        <v>87</v>
      </c>
      <c r="G39" s="4" t="s">
        <v>88</v>
      </c>
      <c r="H39" s="4">
        <v>100</v>
      </c>
      <c r="I39" s="4" t="s">
        <v>260</v>
      </c>
      <c r="J39" s="4">
        <v>3027</v>
      </c>
      <c r="K39" s="4" t="s">
        <v>81</v>
      </c>
      <c r="L39" s="4" t="s">
        <v>261</v>
      </c>
      <c r="M39" s="4" t="s">
        <v>262</v>
      </c>
      <c r="N39" s="14" t="s">
        <v>263</v>
      </c>
      <c r="O39" s="14">
        <v>25.749493013431067</v>
      </c>
      <c r="P39" s="14">
        <v>25.750557876710729</v>
      </c>
      <c r="Q39" s="14">
        <v>24.95697384094575</v>
      </c>
      <c r="R39" s="14">
        <v>26.43463990713218</v>
      </c>
      <c r="S39" s="14">
        <v>0.41098187581211015</v>
      </c>
      <c r="T39" s="14">
        <v>25.193064545654067</v>
      </c>
      <c r="U39" s="14">
        <v>26.296451460550713</v>
      </c>
      <c r="V39" s="17">
        <v>0.74949301343106711</v>
      </c>
      <c r="W39" s="20">
        <v>4430</v>
      </c>
      <c r="X39" s="4">
        <v>1.4420572916666667E-2</v>
      </c>
      <c r="Y39" s="8" t="b">
        <v>1</v>
      </c>
      <c r="Z39" s="11"/>
      <c r="AA39" s="4">
        <v>213</v>
      </c>
      <c r="AB39" s="4">
        <v>20</v>
      </c>
      <c r="AC39" s="4">
        <v>56</v>
      </c>
      <c r="AD39" s="4">
        <v>137</v>
      </c>
      <c r="AE39" s="4">
        <v>46.287423986287919</v>
      </c>
      <c r="AF39" s="4">
        <v>3</v>
      </c>
      <c r="AG39" s="20">
        <v>3</v>
      </c>
      <c r="AH39" s="4">
        <v>1</v>
      </c>
      <c r="AI39" s="23" t="s">
        <v>85</v>
      </c>
      <c r="AJ39" s="23">
        <v>14027.556064224491</v>
      </c>
      <c r="AK39" s="23">
        <v>13578.965621232986</v>
      </c>
      <c r="AL39" s="23">
        <v>6110.7307504993332</v>
      </c>
      <c r="AM39" s="23">
        <v>10866.223920444027</v>
      </c>
      <c r="AN39" s="23">
        <v>16964.592986509204</v>
      </c>
    </row>
    <row r="40" spans="1:40">
      <c r="A40" s="4" t="s">
        <v>73</v>
      </c>
      <c r="B40" s="4" t="s">
        <v>264</v>
      </c>
      <c r="C40" s="4" t="s">
        <v>265</v>
      </c>
      <c r="D40" s="4" t="s">
        <v>266</v>
      </c>
      <c r="E40" s="4" t="s">
        <v>169</v>
      </c>
      <c r="F40" s="4" t="s">
        <v>78</v>
      </c>
      <c r="G40" s="4" t="s">
        <v>79</v>
      </c>
      <c r="H40" s="4">
        <v>0</v>
      </c>
      <c r="I40" s="4" t="s">
        <v>267</v>
      </c>
      <c r="J40" s="4">
        <v>3055</v>
      </c>
      <c r="K40" s="4" t="s">
        <v>81</v>
      </c>
      <c r="L40" s="4" t="s">
        <v>268</v>
      </c>
      <c r="M40" s="4" t="s">
        <v>269</v>
      </c>
      <c r="N40" s="14" t="s">
        <v>270</v>
      </c>
      <c r="O40" s="14">
        <v>25.357424449202732</v>
      </c>
      <c r="P40" s="14">
        <v>25.376320874953706</v>
      </c>
      <c r="Q40" s="14">
        <v>24.764205931609126</v>
      </c>
      <c r="R40" s="14">
        <v>27.019925531562592</v>
      </c>
      <c r="S40" s="14">
        <v>0.3458533833800852</v>
      </c>
      <c r="T40" s="14">
        <v>24.895677441741441</v>
      </c>
      <c r="U40" s="14">
        <v>25.785302534332402</v>
      </c>
      <c r="V40" s="17">
        <v>0.35742444920273186</v>
      </c>
      <c r="W40" s="20">
        <v>10466</v>
      </c>
      <c r="X40" s="4">
        <v>3.4069010416666663E-2</v>
      </c>
      <c r="Y40" s="8" t="b">
        <v>1</v>
      </c>
      <c r="Z40" s="11"/>
      <c r="AA40" s="4">
        <v>168</v>
      </c>
      <c r="AB40" s="4">
        <v>10</v>
      </c>
      <c r="AC40" s="4">
        <v>37</v>
      </c>
      <c r="AD40" s="4">
        <v>121</v>
      </c>
      <c r="AE40" s="4">
        <v>23.323474660835007</v>
      </c>
      <c r="AF40" s="4">
        <v>3</v>
      </c>
      <c r="AG40" s="20">
        <v>3</v>
      </c>
      <c r="AH40" s="4">
        <v>1</v>
      </c>
      <c r="AI40" s="23" t="s">
        <v>85</v>
      </c>
      <c r="AJ40" s="23">
        <v>13223.015085731944</v>
      </c>
      <c r="AK40" s="23">
        <v>14378.221695706248</v>
      </c>
      <c r="AL40" s="23">
        <v>2531.2274174419213</v>
      </c>
      <c r="AM40" s="23">
        <v>12349.251094378531</v>
      </c>
      <c r="AN40" s="23">
        <v>14674.382382072508</v>
      </c>
    </row>
    <row r="41" spans="1:40">
      <c r="A41" s="5" t="s">
        <v>73</v>
      </c>
      <c r="B41" s="5" t="s">
        <v>264</v>
      </c>
      <c r="C41" s="5" t="s">
        <v>271</v>
      </c>
      <c r="D41" s="5" t="s">
        <v>266</v>
      </c>
      <c r="E41" s="5" t="s">
        <v>169</v>
      </c>
      <c r="F41" s="5" t="s">
        <v>87</v>
      </c>
      <c r="G41" s="5" t="s">
        <v>88</v>
      </c>
      <c r="H41" s="5">
        <v>100</v>
      </c>
      <c r="I41" s="5" t="s">
        <v>272</v>
      </c>
      <c r="J41" s="5">
        <v>3028</v>
      </c>
      <c r="K41" s="5" t="s">
        <v>81</v>
      </c>
      <c r="L41" s="5" t="s">
        <v>273</v>
      </c>
      <c r="M41" s="5" t="s">
        <v>274</v>
      </c>
      <c r="N41" s="15" t="s">
        <v>275</v>
      </c>
      <c r="O41" s="15">
        <v>25.343925762752562</v>
      </c>
      <c r="P41" s="15">
        <v>25.367601692004257</v>
      </c>
      <c r="Q41" s="15">
        <v>24.86939646873094</v>
      </c>
      <c r="R41" s="15">
        <v>26.00219558959418</v>
      </c>
      <c r="S41" s="15">
        <v>0.26305202132316569</v>
      </c>
      <c r="T41" s="15">
        <v>24.95697384094575</v>
      </c>
      <c r="U41" s="15">
        <v>25.672340139707217</v>
      </c>
      <c r="V41" s="18">
        <v>0.34392576275256204</v>
      </c>
      <c r="W41" s="21">
        <v>6137</v>
      </c>
      <c r="X41" s="5">
        <v>1.9977213541666667E-2</v>
      </c>
      <c r="Y41" s="9" t="b">
        <v>1</v>
      </c>
      <c r="Z41" s="12"/>
      <c r="AA41" s="5">
        <v>247</v>
      </c>
      <c r="AB41" s="5">
        <v>10</v>
      </c>
      <c r="AC41" s="5">
        <v>49</v>
      </c>
      <c r="AD41" s="5">
        <v>188</v>
      </c>
      <c r="AE41" s="5">
        <v>32.37807287208544</v>
      </c>
      <c r="AF41" s="5">
        <v>3</v>
      </c>
      <c r="AG41" s="21">
        <v>3</v>
      </c>
      <c r="AH41" s="5">
        <v>1</v>
      </c>
      <c r="AI41" s="24" t="s">
        <v>85</v>
      </c>
      <c r="AJ41" s="24">
        <v>11369.347292803228</v>
      </c>
      <c r="AK41" s="24">
        <v>8645.4657897502184</v>
      </c>
      <c r="AL41" s="24">
        <v>7281.8522649354627</v>
      </c>
      <c r="AM41" s="24">
        <v>7243.7896929904819</v>
      </c>
      <c r="AN41" s="24">
        <v>14132.964141089469</v>
      </c>
    </row>
  </sheetData>
  <mergeCells count="1">
    <mergeCell ref="A1:O2"/>
  </mergeCells>
  <conditionalFormatting sqref="Y10:Y41">
    <cfRule type="cellIs" dxfId="0" priority="1" operator="equal">
      <formula>FALSE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93"/>
  <sheetViews>
    <sheetView showGridLines="0" workbookViewId="0">
      <selection activeCell="G12" sqref="G12"/>
    </sheetView>
  </sheetViews>
  <sheetFormatPr baseColWidth="10" defaultColWidth="8.83203125" defaultRowHeight="14"/>
  <cols>
    <col min="1" max="3" width="17" customWidth="1"/>
    <col min="4" max="4" width="25.83203125" customWidth="1"/>
    <col min="5" max="8" width="17" customWidth="1"/>
    <col min="9" max="27" width="14" customWidth="1"/>
    <col min="28" max="31" width="20" customWidth="1"/>
    <col min="32" max="32" width="58" customWidth="1"/>
  </cols>
  <sheetData>
    <row r="1" spans="1:31" ht="28" customHeight="1">
      <c r="A1" s="36" t="s">
        <v>276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31" ht="12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31" ht="15">
      <c r="A4" s="25" t="s">
        <v>277</v>
      </c>
      <c r="B4" s="25" t="s">
        <v>278</v>
      </c>
      <c r="C4" s="25" t="s">
        <v>279</v>
      </c>
      <c r="D4" s="25" t="s">
        <v>280</v>
      </c>
    </row>
    <row r="5" spans="1:31" ht="21">
      <c r="A5" s="26">
        <f>COUNTA(A9:A93)</f>
        <v>85</v>
      </c>
      <c r="B5" s="26">
        <f>COUNTA('Integrated Plants'!A10:A41)</f>
        <v>32</v>
      </c>
      <c r="C5" s="26">
        <f>COUNTIF(E9:E93,"watered")</f>
        <v>42</v>
      </c>
      <c r="D5" s="26">
        <f>COUNTIF(E9:E93,"drought_stressed")</f>
        <v>43</v>
      </c>
    </row>
    <row r="6" spans="1:31" ht="26">
      <c r="A6" s="27" t="s">
        <v>281</v>
      </c>
      <c r="B6" s="27" t="s">
        <v>282</v>
      </c>
      <c r="C6" s="27" t="s">
        <v>15</v>
      </c>
      <c r="D6" s="27" t="s">
        <v>283</v>
      </c>
    </row>
    <row r="8" spans="1:31" ht="35" customHeight="1">
      <c r="A8" s="1" t="s">
        <v>284</v>
      </c>
      <c r="B8" s="6" t="s">
        <v>41</v>
      </c>
      <c r="C8" s="6" t="s">
        <v>285</v>
      </c>
      <c r="D8" s="6" t="s">
        <v>36</v>
      </c>
      <c r="E8" s="6" t="s">
        <v>39</v>
      </c>
      <c r="F8" s="6" t="s">
        <v>40</v>
      </c>
      <c r="G8" s="6" t="s">
        <v>286</v>
      </c>
      <c r="H8" s="6" t="s">
        <v>287</v>
      </c>
      <c r="I8" s="6" t="s">
        <v>288</v>
      </c>
      <c r="J8" s="6" t="s">
        <v>289</v>
      </c>
      <c r="K8" s="6" t="s">
        <v>290</v>
      </c>
      <c r="L8" s="6" t="s">
        <v>291</v>
      </c>
      <c r="M8" s="6" t="s">
        <v>292</v>
      </c>
      <c r="N8" s="6" t="s">
        <v>293</v>
      </c>
      <c r="O8" s="6" t="s">
        <v>294</v>
      </c>
      <c r="P8" s="6" t="s">
        <v>295</v>
      </c>
      <c r="Q8" s="6" t="s">
        <v>296</v>
      </c>
      <c r="R8" s="6" t="s">
        <v>297</v>
      </c>
      <c r="S8" s="6" t="s">
        <v>298</v>
      </c>
      <c r="T8" s="6" t="s">
        <v>299</v>
      </c>
      <c r="U8" s="6" t="s">
        <v>300</v>
      </c>
      <c r="V8" s="6" t="s">
        <v>301</v>
      </c>
      <c r="W8" s="6" t="s">
        <v>302</v>
      </c>
      <c r="X8" s="6" t="s">
        <v>303</v>
      </c>
      <c r="Y8" s="6" t="s">
        <v>304</v>
      </c>
      <c r="Z8" s="6" t="s">
        <v>305</v>
      </c>
      <c r="AA8" s="6" t="s">
        <v>306</v>
      </c>
      <c r="AB8" s="6" t="s">
        <v>307</v>
      </c>
      <c r="AC8" s="6" t="s">
        <v>308</v>
      </c>
      <c r="AD8" s="6" t="s">
        <v>309</v>
      </c>
      <c r="AE8" s="2" t="s">
        <v>310</v>
      </c>
    </row>
    <row r="9" spans="1:31">
      <c r="A9" s="3" t="s">
        <v>311</v>
      </c>
      <c r="B9" s="3" t="s">
        <v>89</v>
      </c>
      <c r="C9" s="3" t="s">
        <v>89</v>
      </c>
      <c r="D9" s="3" t="s">
        <v>76</v>
      </c>
      <c r="E9" s="3" t="s">
        <v>88</v>
      </c>
      <c r="F9" s="3">
        <v>100</v>
      </c>
      <c r="G9" s="3">
        <v>2</v>
      </c>
      <c r="H9" s="3">
        <v>1</v>
      </c>
      <c r="I9" s="13">
        <v>8.0591179999999998</v>
      </c>
      <c r="J9" s="13">
        <v>65.494956999999999</v>
      </c>
      <c r="K9" s="13">
        <v>164</v>
      </c>
      <c r="L9" s="13">
        <v>7.9336000000000004E-2</v>
      </c>
      <c r="M9" s="13">
        <v>1613.51</v>
      </c>
      <c r="N9" s="13">
        <v>71.1900634765625</v>
      </c>
      <c r="O9" s="13">
        <v>55.52001953125</v>
      </c>
      <c r="P9" s="22">
        <v>3168.5165844261646</v>
      </c>
      <c r="Q9" s="13">
        <v>207.37435245513916</v>
      </c>
      <c r="R9" s="13">
        <v>1.2822413262389516</v>
      </c>
      <c r="S9" s="13">
        <v>0.62592358287626892</v>
      </c>
      <c r="T9" s="13">
        <v>1</v>
      </c>
      <c r="U9" s="13">
        <v>90</v>
      </c>
      <c r="V9" s="13">
        <v>3168.5165844261646</v>
      </c>
      <c r="W9" s="13">
        <v>63.515987069717987</v>
      </c>
      <c r="X9" s="13">
        <v>0.92588225951035386</v>
      </c>
      <c r="Y9" s="13">
        <v>3198.2577836836253</v>
      </c>
      <c r="Z9" s="13">
        <v>1659.696212823475</v>
      </c>
      <c r="AA9" s="13" t="s">
        <v>85</v>
      </c>
      <c r="AB9" s="3" t="s">
        <v>312</v>
      </c>
      <c r="AC9" s="3" t="s">
        <v>313</v>
      </c>
      <c r="AD9" s="7" t="b">
        <v>1</v>
      </c>
      <c r="AE9" s="3" t="s">
        <v>314</v>
      </c>
    </row>
    <row r="10" spans="1:31">
      <c r="A10" s="4" t="s">
        <v>315</v>
      </c>
      <c r="B10" s="4" t="s">
        <v>89</v>
      </c>
      <c r="C10" s="4" t="s">
        <v>89</v>
      </c>
      <c r="D10" s="4" t="s">
        <v>76</v>
      </c>
      <c r="E10" s="4" t="s">
        <v>88</v>
      </c>
      <c r="F10" s="4">
        <v>100</v>
      </c>
      <c r="G10" s="4">
        <v>4</v>
      </c>
      <c r="H10" s="4">
        <v>2</v>
      </c>
      <c r="I10" s="14">
        <v>7.830031</v>
      </c>
      <c r="J10" s="14">
        <v>50.540874000000002</v>
      </c>
      <c r="K10" s="14">
        <v>161</v>
      </c>
      <c r="L10" s="14">
        <v>4.5781000000000002E-2</v>
      </c>
      <c r="M10" s="14">
        <v>1923.33</v>
      </c>
      <c r="N10" s="14">
        <v>123.23769378662109</v>
      </c>
      <c r="O10" s="14">
        <v>83.304771423339844</v>
      </c>
      <c r="P10" s="23">
        <v>8114.0227191597223</v>
      </c>
      <c r="Q10" s="14">
        <v>354.90551853179932</v>
      </c>
      <c r="R10" s="14">
        <v>1.47935936538796</v>
      </c>
      <c r="S10" s="14">
        <v>0.73693072243194768</v>
      </c>
      <c r="T10" s="14">
        <v>0.9754463340911097</v>
      </c>
      <c r="U10" s="14">
        <v>33.689956665039062</v>
      </c>
      <c r="V10" s="14">
        <v>8318.2666596621275</v>
      </c>
      <c r="W10" s="14">
        <v>101.64199227147061</v>
      </c>
      <c r="X10" s="14">
        <v>0.80950694428330416</v>
      </c>
      <c r="Y10" s="14">
        <v>3152.1133424403451</v>
      </c>
      <c r="Z10" s="14">
        <v>2009.6205827677366</v>
      </c>
      <c r="AA10" s="14" t="s">
        <v>85</v>
      </c>
      <c r="AB10" s="4" t="s">
        <v>312</v>
      </c>
      <c r="AC10" s="4" t="s">
        <v>313</v>
      </c>
      <c r="AD10" s="8" t="b">
        <v>1</v>
      </c>
      <c r="AE10" s="4" t="s">
        <v>316</v>
      </c>
    </row>
    <row r="11" spans="1:31">
      <c r="A11" s="4" t="s">
        <v>317</v>
      </c>
      <c r="B11" s="4" t="s">
        <v>102</v>
      </c>
      <c r="C11" s="4" t="s">
        <v>102</v>
      </c>
      <c r="D11" s="4" t="s">
        <v>96</v>
      </c>
      <c r="E11" s="4" t="s">
        <v>88</v>
      </c>
      <c r="F11" s="4">
        <v>100</v>
      </c>
      <c r="G11" s="4">
        <v>1</v>
      </c>
      <c r="H11" s="4">
        <v>1</v>
      </c>
      <c r="I11" s="14">
        <v>9.4276839999999993</v>
      </c>
      <c r="J11" s="14">
        <v>137.12416099999999</v>
      </c>
      <c r="K11" s="14">
        <v>180</v>
      </c>
      <c r="L11" s="14">
        <v>1.56E-4</v>
      </c>
      <c r="M11" s="14">
        <v>1619.81</v>
      </c>
      <c r="N11" s="14">
        <v>154.67692565917969</v>
      </c>
      <c r="O11" s="14">
        <v>117.21194458007812</v>
      </c>
      <c r="P11" s="23">
        <v>13415.39175093174</v>
      </c>
      <c r="Q11" s="14">
        <v>463.59413719177246</v>
      </c>
      <c r="R11" s="14">
        <v>1.3196344981164085</v>
      </c>
      <c r="S11" s="14">
        <v>0.65250364545228046</v>
      </c>
      <c r="T11" s="14">
        <v>0.95475264181981434</v>
      </c>
      <c r="U11" s="14">
        <v>38.444038391113281</v>
      </c>
      <c r="V11" s="14">
        <v>14051.170076221228</v>
      </c>
      <c r="W11" s="14">
        <v>130.69432767109743</v>
      </c>
      <c r="X11" s="14">
        <v>0.78439958134636401</v>
      </c>
      <c r="Y11" s="14">
        <v>2273.6323391135388</v>
      </c>
      <c r="Z11" s="14">
        <v>3691.4785860063425</v>
      </c>
      <c r="AA11" s="14" t="s">
        <v>85</v>
      </c>
      <c r="AB11" s="4" t="s">
        <v>312</v>
      </c>
      <c r="AC11" s="4" t="s">
        <v>313</v>
      </c>
      <c r="AD11" s="8" t="b">
        <v>1</v>
      </c>
      <c r="AE11" s="4" t="s">
        <v>318</v>
      </c>
    </row>
    <row r="12" spans="1:31">
      <c r="A12" s="4" t="s">
        <v>319</v>
      </c>
      <c r="B12" s="4" t="s">
        <v>102</v>
      </c>
      <c r="C12" s="4" t="s">
        <v>102</v>
      </c>
      <c r="D12" s="4" t="s">
        <v>96</v>
      </c>
      <c r="E12" s="4" t="s">
        <v>88</v>
      </c>
      <c r="F12" s="4">
        <v>100</v>
      </c>
      <c r="G12" s="4">
        <v>2</v>
      </c>
      <c r="H12" s="4">
        <v>2</v>
      </c>
      <c r="I12" s="14">
        <v>9.2101699999999997</v>
      </c>
      <c r="J12" s="14">
        <v>81.912604999999999</v>
      </c>
      <c r="K12" s="14">
        <v>192</v>
      </c>
      <c r="L12" s="14">
        <v>2.539E-3</v>
      </c>
      <c r="M12" s="14">
        <v>562.32000000000005</v>
      </c>
      <c r="N12" s="14">
        <v>129.59873962402344</v>
      </c>
      <c r="O12" s="14">
        <v>86.269783020019531</v>
      </c>
      <c r="P12" s="23">
        <v>8983.4550118148327</v>
      </c>
      <c r="Q12" s="14">
        <v>350.5596342086792</v>
      </c>
      <c r="R12" s="14">
        <v>1.5022495141079595</v>
      </c>
      <c r="S12" s="14">
        <v>0.74624768557988219</v>
      </c>
      <c r="T12" s="14">
        <v>1</v>
      </c>
      <c r="U12" s="14">
        <v>149.45205688476562</v>
      </c>
      <c r="V12" s="14">
        <v>8983.4550118148327</v>
      </c>
      <c r="W12" s="14">
        <v>106.94900733242891</v>
      </c>
      <c r="X12" s="14">
        <v>0.91860635834646887</v>
      </c>
      <c r="Y12" s="14">
        <v>3370.2077614996729</v>
      </c>
      <c r="Z12" s="14">
        <v>2629.9265170930921</v>
      </c>
      <c r="AA12" s="14" t="s">
        <v>85</v>
      </c>
      <c r="AB12" s="4" t="s">
        <v>312</v>
      </c>
      <c r="AC12" s="4" t="s">
        <v>313</v>
      </c>
      <c r="AD12" s="8" t="b">
        <v>1</v>
      </c>
      <c r="AE12" s="4" t="s">
        <v>320</v>
      </c>
    </row>
    <row r="13" spans="1:31">
      <c r="A13" s="4" t="s">
        <v>321</v>
      </c>
      <c r="B13" s="4" t="s">
        <v>102</v>
      </c>
      <c r="C13" s="4" t="s">
        <v>102</v>
      </c>
      <c r="D13" s="4" t="s">
        <v>96</v>
      </c>
      <c r="E13" s="4" t="s">
        <v>88</v>
      </c>
      <c r="F13" s="4">
        <v>100</v>
      </c>
      <c r="G13" s="4">
        <v>3</v>
      </c>
      <c r="H13" s="4">
        <v>3</v>
      </c>
      <c r="I13" s="14">
        <v>9.2001969999999993</v>
      </c>
      <c r="J13" s="14">
        <v>127.275665</v>
      </c>
      <c r="K13" s="14">
        <v>174</v>
      </c>
      <c r="L13" s="14">
        <v>1.328E-3</v>
      </c>
      <c r="M13" s="14">
        <v>500.67</v>
      </c>
      <c r="N13" s="14">
        <v>171.30595397949219</v>
      </c>
      <c r="O13" s="14">
        <v>132.53173828125</v>
      </c>
      <c r="P13" s="23">
        <v>17907.713899463415</v>
      </c>
      <c r="Q13" s="14">
        <v>497.39870691299438</v>
      </c>
      <c r="R13" s="14">
        <v>1.2925655107304044</v>
      </c>
      <c r="S13" s="14">
        <v>0.63360687014103623</v>
      </c>
      <c r="T13" s="14">
        <v>0.98654417643984105</v>
      </c>
      <c r="U13" s="14">
        <v>52.846115112304688</v>
      </c>
      <c r="V13" s="14">
        <v>18151.963517829776</v>
      </c>
      <c r="W13" s="14">
        <v>150.99936917947818</v>
      </c>
      <c r="X13" s="14">
        <v>0.90957959178050474</v>
      </c>
      <c r="Y13" s="14">
        <v>588.02291778382551</v>
      </c>
      <c r="Z13" s="14">
        <v>5296.5123242759582</v>
      </c>
      <c r="AA13" s="14" t="s">
        <v>85</v>
      </c>
      <c r="AB13" s="4" t="s">
        <v>312</v>
      </c>
      <c r="AC13" s="4" t="s">
        <v>313</v>
      </c>
      <c r="AD13" s="8" t="b">
        <v>1</v>
      </c>
      <c r="AE13" s="4" t="s">
        <v>322</v>
      </c>
    </row>
    <row r="14" spans="1:31">
      <c r="A14" s="4" t="s">
        <v>323</v>
      </c>
      <c r="B14" s="4" t="s">
        <v>114</v>
      </c>
      <c r="C14" s="4" t="s">
        <v>114</v>
      </c>
      <c r="D14" s="4" t="s">
        <v>108</v>
      </c>
      <c r="E14" s="4" t="s">
        <v>88</v>
      </c>
      <c r="F14" s="4">
        <v>100</v>
      </c>
      <c r="G14" s="4">
        <v>1</v>
      </c>
      <c r="H14" s="4">
        <v>1</v>
      </c>
      <c r="I14" s="14">
        <v>7.8359490000000003</v>
      </c>
      <c r="J14" s="14">
        <v>62.066574000000003</v>
      </c>
      <c r="K14" s="14">
        <v>162</v>
      </c>
      <c r="L14" s="14">
        <v>0.11941400000000001</v>
      </c>
      <c r="M14" s="14">
        <v>253.16</v>
      </c>
      <c r="N14" s="14">
        <v>124.92148590087891</v>
      </c>
      <c r="O14" s="14">
        <v>93.090919494628906</v>
      </c>
      <c r="P14" s="23">
        <v>8925.019157201983</v>
      </c>
      <c r="Q14" s="14">
        <v>355.17611503601074</v>
      </c>
      <c r="R14" s="14">
        <v>1.3419298743534973</v>
      </c>
      <c r="S14" s="14">
        <v>0.66684614562456468</v>
      </c>
      <c r="T14" s="14">
        <v>0.98902909433669439</v>
      </c>
      <c r="U14" s="14">
        <v>129.38994598388672</v>
      </c>
      <c r="V14" s="14">
        <v>9024.0208385251462</v>
      </c>
      <c r="W14" s="14">
        <v>106.60059722378885</v>
      </c>
      <c r="X14" s="14">
        <v>0.88906091036048041</v>
      </c>
      <c r="Y14" s="14">
        <v>328.75752478951745</v>
      </c>
      <c r="Z14" s="14">
        <v>999.38349295729654</v>
      </c>
      <c r="AA14" s="14" t="s">
        <v>85</v>
      </c>
      <c r="AB14" s="4" t="s">
        <v>312</v>
      </c>
      <c r="AC14" s="4" t="s">
        <v>313</v>
      </c>
      <c r="AD14" s="8" t="b">
        <v>1</v>
      </c>
      <c r="AE14" s="4" t="s">
        <v>324</v>
      </c>
    </row>
    <row r="15" spans="1:31">
      <c r="A15" s="4" t="s">
        <v>325</v>
      </c>
      <c r="B15" s="4" t="s">
        <v>114</v>
      </c>
      <c r="C15" s="4" t="s">
        <v>114</v>
      </c>
      <c r="D15" s="4" t="s">
        <v>108</v>
      </c>
      <c r="E15" s="4" t="s">
        <v>88</v>
      </c>
      <c r="F15" s="4">
        <v>100</v>
      </c>
      <c r="G15" s="4">
        <v>2</v>
      </c>
      <c r="H15" s="4">
        <v>2</v>
      </c>
      <c r="I15" s="14">
        <v>7.2370429999999999</v>
      </c>
      <c r="J15" s="14">
        <v>54.410953999999997</v>
      </c>
      <c r="K15" s="14">
        <v>155</v>
      </c>
      <c r="L15" s="14">
        <v>0.21757799999999999</v>
      </c>
      <c r="M15" s="14">
        <v>209.24</v>
      </c>
      <c r="N15" s="14">
        <v>159.87742614746094</v>
      </c>
      <c r="O15" s="14">
        <v>119.2745361328125</v>
      </c>
      <c r="P15" s="23">
        <v>14832.859139300184</v>
      </c>
      <c r="Q15" s="14">
        <v>454.03489398956299</v>
      </c>
      <c r="R15" s="14">
        <v>1.3404154091149598</v>
      </c>
      <c r="S15" s="14">
        <v>0.66590406783733802</v>
      </c>
      <c r="T15" s="14">
        <v>1</v>
      </c>
      <c r="U15" s="14">
        <v>166.84036254882812</v>
      </c>
      <c r="V15" s="14">
        <v>14832.859139300184</v>
      </c>
      <c r="W15" s="14">
        <v>137.42555372871294</v>
      </c>
      <c r="X15" s="14">
        <v>0.90418286895191302</v>
      </c>
      <c r="Y15" s="14">
        <v>461.73519814613638</v>
      </c>
      <c r="Z15" s="14">
        <v>281.91752944975741</v>
      </c>
      <c r="AA15" s="14" t="s">
        <v>85</v>
      </c>
      <c r="AB15" s="4" t="s">
        <v>312</v>
      </c>
      <c r="AC15" s="4" t="s">
        <v>313</v>
      </c>
      <c r="AD15" s="8" t="b">
        <v>1</v>
      </c>
      <c r="AE15" s="4" t="s">
        <v>326</v>
      </c>
    </row>
    <row r="16" spans="1:31">
      <c r="A16" s="4" t="s">
        <v>327</v>
      </c>
      <c r="B16" s="4" t="s">
        <v>114</v>
      </c>
      <c r="C16" s="4" t="s">
        <v>114</v>
      </c>
      <c r="D16" s="4" t="s">
        <v>108</v>
      </c>
      <c r="E16" s="4" t="s">
        <v>88</v>
      </c>
      <c r="F16" s="4">
        <v>100</v>
      </c>
      <c r="G16" s="4">
        <v>3</v>
      </c>
      <c r="H16" s="4">
        <v>3</v>
      </c>
      <c r="I16" s="14">
        <v>6.2901600000000002</v>
      </c>
      <c r="J16" s="14">
        <v>38.518203999999997</v>
      </c>
      <c r="K16" s="14">
        <v>132</v>
      </c>
      <c r="L16" s="14">
        <v>0.22886699999999999</v>
      </c>
      <c r="M16" s="14">
        <v>1273.18</v>
      </c>
      <c r="N16" s="14">
        <v>121.04130554199219</v>
      </c>
      <c r="O16" s="14">
        <v>75.296768188476562</v>
      </c>
      <c r="P16" s="23">
        <v>7673.3525046408176</v>
      </c>
      <c r="Q16" s="14">
        <v>336.0481538772583</v>
      </c>
      <c r="R16" s="14">
        <v>1.607523250387211</v>
      </c>
      <c r="S16" s="14">
        <v>0.78295767094135993</v>
      </c>
      <c r="T16" s="14">
        <v>0.99073934482778192</v>
      </c>
      <c r="U16" s="14">
        <v>163.78353118896484</v>
      </c>
      <c r="V16" s="14">
        <v>7745.0769919455051</v>
      </c>
      <c r="W16" s="14">
        <v>98.843390520566899</v>
      </c>
      <c r="X16" s="14">
        <v>0.85387045340601242</v>
      </c>
      <c r="Y16" s="14">
        <v>3026.703268450502</v>
      </c>
      <c r="Z16" s="14">
        <v>2661.3475383614764</v>
      </c>
      <c r="AA16" s="14" t="s">
        <v>85</v>
      </c>
      <c r="AB16" s="4" t="s">
        <v>312</v>
      </c>
      <c r="AC16" s="4" t="s">
        <v>313</v>
      </c>
      <c r="AD16" s="8" t="b">
        <v>1</v>
      </c>
      <c r="AE16" s="4" t="s">
        <v>328</v>
      </c>
    </row>
    <row r="17" spans="1:31">
      <c r="A17" s="4" t="s">
        <v>329</v>
      </c>
      <c r="B17" s="4" t="s">
        <v>126</v>
      </c>
      <c r="C17" s="4" t="s">
        <v>126</v>
      </c>
      <c r="D17" s="4" t="s">
        <v>120</v>
      </c>
      <c r="E17" s="4" t="s">
        <v>88</v>
      </c>
      <c r="F17" s="4">
        <v>100</v>
      </c>
      <c r="G17" s="4">
        <v>2</v>
      </c>
      <c r="H17" s="4">
        <v>1</v>
      </c>
      <c r="I17" s="14">
        <v>8.5200399999999998</v>
      </c>
      <c r="J17" s="14">
        <v>63.051532999999999</v>
      </c>
      <c r="K17" s="14">
        <v>181</v>
      </c>
      <c r="L17" s="14">
        <v>5.4883000000000001E-2</v>
      </c>
      <c r="M17" s="14">
        <v>980.12</v>
      </c>
      <c r="N17" s="14">
        <v>121.47854614257812</v>
      </c>
      <c r="O17" s="14">
        <v>73.981712341308594</v>
      </c>
      <c r="P17" s="23">
        <v>7295.5563025474548</v>
      </c>
      <c r="Q17" s="14">
        <v>325.11533546447754</v>
      </c>
      <c r="R17" s="14">
        <v>1.6420077651372378</v>
      </c>
      <c r="S17" s="14">
        <v>0.79316214525990447</v>
      </c>
      <c r="T17" s="14">
        <v>0.99968194026908119</v>
      </c>
      <c r="U17" s="14">
        <v>41.924198150634766</v>
      </c>
      <c r="V17" s="14">
        <v>7297.8774634897709</v>
      </c>
      <c r="W17" s="14">
        <v>96.379410587766458</v>
      </c>
      <c r="X17" s="14">
        <v>0.86734797074881298</v>
      </c>
      <c r="Y17" s="14">
        <v>2938.9987793967939</v>
      </c>
      <c r="Z17" s="14">
        <v>3566.1794035903886</v>
      </c>
      <c r="AA17" s="14" t="s">
        <v>85</v>
      </c>
      <c r="AB17" s="4" t="s">
        <v>312</v>
      </c>
      <c r="AC17" s="4" t="s">
        <v>313</v>
      </c>
      <c r="AD17" s="8" t="b">
        <v>1</v>
      </c>
      <c r="AE17" s="4" t="s">
        <v>330</v>
      </c>
    </row>
    <row r="18" spans="1:31">
      <c r="A18" s="4" t="s">
        <v>331</v>
      </c>
      <c r="B18" s="4" t="s">
        <v>126</v>
      </c>
      <c r="C18" s="4" t="s">
        <v>126</v>
      </c>
      <c r="D18" s="4" t="s">
        <v>120</v>
      </c>
      <c r="E18" s="4" t="s">
        <v>88</v>
      </c>
      <c r="F18" s="4">
        <v>100</v>
      </c>
      <c r="G18" s="4">
        <v>4</v>
      </c>
      <c r="H18" s="4">
        <v>2</v>
      </c>
      <c r="I18" s="14">
        <v>8.3282430000000005</v>
      </c>
      <c r="J18" s="14">
        <v>62.24353</v>
      </c>
      <c r="K18" s="14">
        <v>168</v>
      </c>
      <c r="L18" s="14">
        <v>6.2500000000000003E-3</v>
      </c>
      <c r="M18" s="14">
        <v>1065.93</v>
      </c>
      <c r="N18" s="14">
        <v>179.46470642089844</v>
      </c>
      <c r="O18" s="14">
        <v>126.09135437011719</v>
      </c>
      <c r="P18" s="23">
        <v>17302.698618218303</v>
      </c>
      <c r="Q18" s="14">
        <v>487.16469097137451</v>
      </c>
      <c r="R18" s="14">
        <v>1.4232911313975891</v>
      </c>
      <c r="S18" s="14">
        <v>0.71158803645963076</v>
      </c>
      <c r="T18" s="14">
        <v>1</v>
      </c>
      <c r="U18" s="14">
        <v>139.92568969726562</v>
      </c>
      <c r="V18" s="14">
        <v>17302.698618218303</v>
      </c>
      <c r="W18" s="14">
        <v>148.42668261249389</v>
      </c>
      <c r="X18" s="14">
        <v>0.91616163174420373</v>
      </c>
      <c r="Y18" s="14">
        <v>1164.4735788834869</v>
      </c>
      <c r="Z18" s="14">
        <v>3233.4200277369764</v>
      </c>
      <c r="AA18" s="14" t="s">
        <v>85</v>
      </c>
      <c r="AB18" s="4" t="s">
        <v>312</v>
      </c>
      <c r="AC18" s="4" t="s">
        <v>313</v>
      </c>
      <c r="AD18" s="8" t="b">
        <v>1</v>
      </c>
      <c r="AE18" s="4" t="s">
        <v>332</v>
      </c>
    </row>
    <row r="19" spans="1:31">
      <c r="A19" s="4" t="s">
        <v>333</v>
      </c>
      <c r="B19" s="4" t="s">
        <v>138</v>
      </c>
      <c r="C19" s="4" t="s">
        <v>138</v>
      </c>
      <c r="D19" s="4" t="s">
        <v>132</v>
      </c>
      <c r="E19" s="4" t="s">
        <v>88</v>
      </c>
      <c r="F19" s="4">
        <v>100</v>
      </c>
      <c r="G19" s="4">
        <v>1</v>
      </c>
      <c r="H19" s="4">
        <v>1</v>
      </c>
      <c r="I19" s="14">
        <v>8.9083989999999993</v>
      </c>
      <c r="J19" s="14">
        <v>55.067894000000003</v>
      </c>
      <c r="K19" s="14">
        <v>196</v>
      </c>
      <c r="L19" s="14">
        <v>6.0549999999999996E-3</v>
      </c>
      <c r="M19" s="14">
        <v>1408.28</v>
      </c>
      <c r="N19" s="14">
        <v>166.68165588378906</v>
      </c>
      <c r="O19" s="14">
        <v>104.80622100830078</v>
      </c>
      <c r="P19" s="23">
        <v>13086.481163531542</v>
      </c>
      <c r="Q19" s="14">
        <v>437.25833511352539</v>
      </c>
      <c r="R19" s="14">
        <v>1.5903794095446651</v>
      </c>
      <c r="S19" s="14">
        <v>0.777582622718613</v>
      </c>
      <c r="T19" s="14">
        <v>0.98338297160104504</v>
      </c>
      <c r="U19" s="14">
        <v>69.730995178222656</v>
      </c>
      <c r="V19" s="14">
        <v>13307.614166051149</v>
      </c>
      <c r="W19" s="14">
        <v>129.08224246130908</v>
      </c>
      <c r="X19" s="14">
        <v>0.86011506554702555</v>
      </c>
      <c r="Y19" s="14">
        <v>1496.5145254193283</v>
      </c>
      <c r="Z19" s="14">
        <v>4427.9081653941312</v>
      </c>
      <c r="AA19" s="14" t="s">
        <v>85</v>
      </c>
      <c r="AB19" s="4" t="s">
        <v>312</v>
      </c>
      <c r="AC19" s="4" t="s">
        <v>313</v>
      </c>
      <c r="AD19" s="8" t="b">
        <v>0</v>
      </c>
      <c r="AE19" s="4" t="s">
        <v>334</v>
      </c>
    </row>
    <row r="20" spans="1:31">
      <c r="A20" s="4" t="s">
        <v>335</v>
      </c>
      <c r="B20" s="4" t="s">
        <v>138</v>
      </c>
      <c r="C20" s="4" t="s">
        <v>138</v>
      </c>
      <c r="D20" s="4" t="s">
        <v>132</v>
      </c>
      <c r="E20" s="4" t="s">
        <v>88</v>
      </c>
      <c r="F20" s="4">
        <v>100</v>
      </c>
      <c r="G20" s="4">
        <v>2</v>
      </c>
      <c r="H20" s="4">
        <v>2</v>
      </c>
      <c r="I20" s="14">
        <v>8.8636189999999999</v>
      </c>
      <c r="J20" s="14">
        <v>43.554110999999999</v>
      </c>
      <c r="K20" s="14">
        <v>203</v>
      </c>
      <c r="L20" s="14">
        <v>2.6949999999999999E-3</v>
      </c>
      <c r="M20" s="14">
        <v>126.59</v>
      </c>
      <c r="N20" s="14">
        <v>147.02595520019531</v>
      </c>
      <c r="O20" s="14">
        <v>90.474960327148438</v>
      </c>
      <c r="P20" s="23">
        <v>10627.038184076548</v>
      </c>
      <c r="Q20" s="14">
        <v>387.23480987548828</v>
      </c>
      <c r="R20" s="14">
        <v>1.6250458101176737</v>
      </c>
      <c r="S20" s="14">
        <v>0.78824052540354583</v>
      </c>
      <c r="T20" s="14">
        <v>1</v>
      </c>
      <c r="U20" s="14">
        <v>15.55374813079834</v>
      </c>
      <c r="V20" s="14">
        <v>10627.038184076548</v>
      </c>
      <c r="W20" s="14">
        <v>116.32181764130414</v>
      </c>
      <c r="X20" s="14">
        <v>0.89058079152391356</v>
      </c>
      <c r="Y20" s="14">
        <v>1073.1846958686942</v>
      </c>
      <c r="Z20" s="14">
        <v>5796.7278618695645</v>
      </c>
      <c r="AA20" s="14" t="s">
        <v>85</v>
      </c>
      <c r="AB20" s="4" t="s">
        <v>312</v>
      </c>
      <c r="AC20" s="4" t="s">
        <v>313</v>
      </c>
      <c r="AD20" s="8" t="b">
        <v>1</v>
      </c>
      <c r="AE20" s="4" t="s">
        <v>336</v>
      </c>
    </row>
    <row r="21" spans="1:31">
      <c r="A21" s="4" t="s">
        <v>337</v>
      </c>
      <c r="B21" s="4" t="s">
        <v>150</v>
      </c>
      <c r="C21" s="4" t="s">
        <v>150</v>
      </c>
      <c r="D21" s="4" t="s">
        <v>144</v>
      </c>
      <c r="E21" s="4" t="s">
        <v>88</v>
      </c>
      <c r="F21" s="4">
        <v>100</v>
      </c>
      <c r="G21" s="4">
        <v>1</v>
      </c>
      <c r="H21" s="4">
        <v>1</v>
      </c>
      <c r="I21" s="14">
        <v>9.2249999999999996</v>
      </c>
      <c r="J21" s="14">
        <v>106.23258199999999</v>
      </c>
      <c r="K21" s="14">
        <v>182</v>
      </c>
      <c r="L21" s="14">
        <v>0</v>
      </c>
      <c r="M21" s="14">
        <v>1029.42</v>
      </c>
      <c r="N21" s="14">
        <v>137.69377136230469</v>
      </c>
      <c r="O21" s="14">
        <v>95.335342407226562</v>
      </c>
      <c r="P21" s="23">
        <v>9508.1401658654213</v>
      </c>
      <c r="Q21" s="14">
        <v>374.83675575256348</v>
      </c>
      <c r="R21" s="14">
        <v>1.4443098213686942</v>
      </c>
      <c r="S21" s="14">
        <v>0.72154050923617963</v>
      </c>
      <c r="T21" s="14">
        <v>0.97098513748282966</v>
      </c>
      <c r="U21" s="14">
        <v>13.245196342468262</v>
      </c>
      <c r="V21" s="14">
        <v>9792.2612806558609</v>
      </c>
      <c r="W21" s="14">
        <v>110.02790580604815</v>
      </c>
      <c r="X21" s="14">
        <v>0.85039578439463537</v>
      </c>
      <c r="Y21" s="14">
        <v>4288.4188091824963</v>
      </c>
      <c r="Z21" s="14">
        <v>2883.9446610287087</v>
      </c>
      <c r="AA21" s="14" t="s">
        <v>85</v>
      </c>
      <c r="AB21" s="4" t="s">
        <v>312</v>
      </c>
      <c r="AC21" s="4" t="s">
        <v>313</v>
      </c>
      <c r="AD21" s="8" t="b">
        <v>1</v>
      </c>
      <c r="AE21" s="4" t="s">
        <v>338</v>
      </c>
    </row>
    <row r="22" spans="1:31">
      <c r="A22" s="4" t="s">
        <v>339</v>
      </c>
      <c r="B22" s="4" t="s">
        <v>150</v>
      </c>
      <c r="C22" s="4" t="s">
        <v>150</v>
      </c>
      <c r="D22" s="4" t="s">
        <v>144</v>
      </c>
      <c r="E22" s="4" t="s">
        <v>88</v>
      </c>
      <c r="F22" s="4">
        <v>100</v>
      </c>
      <c r="G22" s="4">
        <v>3</v>
      </c>
      <c r="H22" s="4">
        <v>2</v>
      </c>
      <c r="I22" s="14">
        <v>9.0656479999999995</v>
      </c>
      <c r="J22" s="14">
        <v>67.440216000000007</v>
      </c>
      <c r="K22" s="14">
        <v>194</v>
      </c>
      <c r="L22" s="14">
        <v>3.4380000000000001E-3</v>
      </c>
      <c r="M22" s="14">
        <v>1143.69</v>
      </c>
      <c r="N22" s="14">
        <v>143.18623352050781</v>
      </c>
      <c r="O22" s="14">
        <v>104.28794860839844</v>
      </c>
      <c r="P22" s="23">
        <v>10782.670918777585</v>
      </c>
      <c r="Q22" s="14">
        <v>430.16779518127441</v>
      </c>
      <c r="R22" s="14">
        <v>1.372989261282457</v>
      </c>
      <c r="S22" s="14">
        <v>0.68521823219720257</v>
      </c>
      <c r="T22" s="14">
        <v>0.97844752782154221</v>
      </c>
      <c r="U22" s="14">
        <v>33.376136779785156</v>
      </c>
      <c r="V22" s="14">
        <v>11020.183108627796</v>
      </c>
      <c r="W22" s="14">
        <v>117.17048694809394</v>
      </c>
      <c r="X22" s="14">
        <v>0.73225176640314527</v>
      </c>
      <c r="Y22" s="14">
        <v>1607.4977324857196</v>
      </c>
      <c r="Z22" s="14">
        <v>2792.8573909577522</v>
      </c>
      <c r="AA22" s="14" t="s">
        <v>85</v>
      </c>
      <c r="AB22" s="4" t="s">
        <v>312</v>
      </c>
      <c r="AC22" s="4" t="s">
        <v>313</v>
      </c>
      <c r="AD22" s="8" t="b">
        <v>1</v>
      </c>
      <c r="AE22" s="4" t="s">
        <v>340</v>
      </c>
    </row>
    <row r="23" spans="1:31">
      <c r="A23" s="4" t="s">
        <v>341</v>
      </c>
      <c r="B23" s="4" t="s">
        <v>150</v>
      </c>
      <c r="C23" s="4" t="s">
        <v>150</v>
      </c>
      <c r="D23" s="4" t="s">
        <v>144</v>
      </c>
      <c r="E23" s="4" t="s">
        <v>88</v>
      </c>
      <c r="F23" s="4">
        <v>100</v>
      </c>
      <c r="G23" s="4">
        <v>67</v>
      </c>
      <c r="H23" s="4">
        <v>3</v>
      </c>
      <c r="I23" s="14">
        <v>6.2170259999999997</v>
      </c>
      <c r="J23" s="14">
        <v>27.495905</v>
      </c>
      <c r="K23" s="14">
        <v>121</v>
      </c>
      <c r="L23" s="14">
        <v>5.2578E-2</v>
      </c>
      <c r="M23" s="14">
        <v>845.55</v>
      </c>
      <c r="N23" s="14">
        <v>121.76724243164062</v>
      </c>
      <c r="O23" s="14">
        <v>77.217323303222656</v>
      </c>
      <c r="P23" s="23">
        <v>7799.3467115461826</v>
      </c>
      <c r="Q23" s="14">
        <v>329.63141822814941</v>
      </c>
      <c r="R23" s="14">
        <v>1.5769420283253808</v>
      </c>
      <c r="S23" s="14">
        <v>0.77321929831011482</v>
      </c>
      <c r="T23" s="14">
        <v>0.99801146893485182</v>
      </c>
      <c r="U23" s="14">
        <v>120.57228851318359</v>
      </c>
      <c r="V23" s="14">
        <v>7814.8868568316102</v>
      </c>
      <c r="W23" s="14">
        <v>99.651576285780607</v>
      </c>
      <c r="X23" s="14">
        <v>0.90200904580261254</v>
      </c>
      <c r="Y23" s="14">
        <v>2255.6392643367994</v>
      </c>
      <c r="Z23" s="14">
        <v>911.42478646021959</v>
      </c>
      <c r="AA23" s="14" t="s">
        <v>85</v>
      </c>
      <c r="AB23" s="4" t="s">
        <v>312</v>
      </c>
      <c r="AC23" s="4" t="s">
        <v>313</v>
      </c>
      <c r="AD23" s="8" t="b">
        <v>1</v>
      </c>
      <c r="AE23" s="4" t="s">
        <v>342</v>
      </c>
    </row>
    <row r="24" spans="1:31">
      <c r="A24" s="4" t="s">
        <v>343</v>
      </c>
      <c r="B24" s="4" t="s">
        <v>162</v>
      </c>
      <c r="C24" s="4" t="s">
        <v>162</v>
      </c>
      <c r="D24" s="4" t="s">
        <v>156</v>
      </c>
      <c r="E24" s="4" t="s">
        <v>88</v>
      </c>
      <c r="F24" s="4">
        <v>100</v>
      </c>
      <c r="G24" s="4">
        <v>1</v>
      </c>
      <c r="H24" s="4">
        <v>1</v>
      </c>
      <c r="I24" s="14">
        <v>8.5055750000000003</v>
      </c>
      <c r="J24" s="14">
        <v>115.230484</v>
      </c>
      <c r="K24" s="14">
        <v>150</v>
      </c>
      <c r="L24" s="14">
        <v>0</v>
      </c>
      <c r="M24" s="14">
        <v>1933.75</v>
      </c>
      <c r="N24" s="14">
        <v>148.82688903808594</v>
      </c>
      <c r="O24" s="14">
        <v>79.939041137695312</v>
      </c>
      <c r="P24" s="23">
        <v>9581.591160595417</v>
      </c>
      <c r="Q24" s="14">
        <v>382.27514743804932</v>
      </c>
      <c r="R24" s="14">
        <v>1.8617547436143378</v>
      </c>
      <c r="S24" s="14">
        <v>0.84350095372560241</v>
      </c>
      <c r="T24" s="14">
        <v>0.99814448521010957</v>
      </c>
      <c r="U24" s="14">
        <v>148.17341995239258</v>
      </c>
      <c r="V24" s="14">
        <v>9599.402994826436</v>
      </c>
      <c r="W24" s="14">
        <v>110.45207452626215</v>
      </c>
      <c r="X24" s="14">
        <v>0.82393958981025905</v>
      </c>
      <c r="Y24" s="14">
        <v>3663.8501861522373</v>
      </c>
      <c r="Z24" s="14">
        <v>2001.4790732122567</v>
      </c>
      <c r="AA24" s="14" t="s">
        <v>85</v>
      </c>
      <c r="AB24" s="4" t="s">
        <v>312</v>
      </c>
      <c r="AC24" s="4" t="s">
        <v>313</v>
      </c>
      <c r="AD24" s="8" t="b">
        <v>1</v>
      </c>
      <c r="AE24" s="4" t="s">
        <v>344</v>
      </c>
    </row>
    <row r="25" spans="1:31">
      <c r="A25" s="4" t="s">
        <v>345</v>
      </c>
      <c r="B25" s="4" t="s">
        <v>162</v>
      </c>
      <c r="C25" s="4" t="s">
        <v>162</v>
      </c>
      <c r="D25" s="4" t="s">
        <v>156</v>
      </c>
      <c r="E25" s="4" t="s">
        <v>88</v>
      </c>
      <c r="F25" s="4">
        <v>100</v>
      </c>
      <c r="G25" s="4">
        <v>2</v>
      </c>
      <c r="H25" s="4">
        <v>2</v>
      </c>
      <c r="I25" s="14">
        <v>8.3535979999999999</v>
      </c>
      <c r="J25" s="14">
        <v>67.457626000000005</v>
      </c>
      <c r="K25" s="14">
        <v>166</v>
      </c>
      <c r="L25" s="14">
        <v>7.5389999999999997E-3</v>
      </c>
      <c r="M25" s="14">
        <v>729.6</v>
      </c>
      <c r="N25" s="14">
        <v>114.82430267333984</v>
      </c>
      <c r="O25" s="14">
        <v>52.029556274414062</v>
      </c>
      <c r="P25" s="23">
        <v>4494.97440341115</v>
      </c>
      <c r="Q25" s="14">
        <v>282.92019748687744</v>
      </c>
      <c r="R25" s="14">
        <v>2.206905284137616</v>
      </c>
      <c r="S25" s="14">
        <v>0.89144790045990729</v>
      </c>
      <c r="T25" s="14">
        <v>0.92724067633637997</v>
      </c>
      <c r="U25" s="14">
        <v>2.2280702590942383</v>
      </c>
      <c r="V25" s="14">
        <v>4847.6889745295048</v>
      </c>
      <c r="W25" s="14">
        <v>75.651696365616431</v>
      </c>
      <c r="X25" s="14">
        <v>0.70568223068318181</v>
      </c>
      <c r="Y25" s="14">
        <v>5189.1425217126007</v>
      </c>
      <c r="Z25" s="14">
        <v>2013.0538968090298</v>
      </c>
      <c r="AA25" s="14" t="s">
        <v>85</v>
      </c>
      <c r="AB25" s="4" t="s">
        <v>312</v>
      </c>
      <c r="AC25" s="4" t="s">
        <v>313</v>
      </c>
      <c r="AD25" s="8" t="b">
        <v>1</v>
      </c>
      <c r="AE25" s="4" t="s">
        <v>346</v>
      </c>
    </row>
    <row r="26" spans="1:31">
      <c r="A26" s="4" t="s">
        <v>347</v>
      </c>
      <c r="B26" s="4" t="s">
        <v>162</v>
      </c>
      <c r="C26" s="4" t="s">
        <v>162</v>
      </c>
      <c r="D26" s="4" t="s">
        <v>156</v>
      </c>
      <c r="E26" s="4" t="s">
        <v>88</v>
      </c>
      <c r="F26" s="4">
        <v>100</v>
      </c>
      <c r="G26" s="4">
        <v>3</v>
      </c>
      <c r="H26" s="4">
        <v>3</v>
      </c>
      <c r="I26" s="14">
        <v>8.3347850000000001</v>
      </c>
      <c r="J26" s="14">
        <v>54.424396999999999</v>
      </c>
      <c r="K26" s="14">
        <v>177</v>
      </c>
      <c r="L26" s="14">
        <v>3.5077999999999998E-2</v>
      </c>
      <c r="M26" s="14">
        <v>138.84</v>
      </c>
      <c r="N26" s="14">
        <v>105.13778686523438</v>
      </c>
      <c r="O26" s="14">
        <v>75.762161254882812</v>
      </c>
      <c r="P26" s="23">
        <v>6181.413795129396</v>
      </c>
      <c r="Q26" s="14">
        <v>291.10405826568604</v>
      </c>
      <c r="R26" s="14">
        <v>1.3877347890264724</v>
      </c>
      <c r="S26" s="14">
        <v>0.6933522871109461</v>
      </c>
      <c r="T26" s="14">
        <v>0.99549803275892257</v>
      </c>
      <c r="U26" s="14">
        <v>73.123733520507812</v>
      </c>
      <c r="V26" s="14">
        <v>6209.3681672059465</v>
      </c>
      <c r="W26" s="14">
        <v>88.715390357762658</v>
      </c>
      <c r="X26" s="14">
        <v>0.91664497317957716</v>
      </c>
      <c r="Y26" s="14">
        <v>212.50036530152303</v>
      </c>
      <c r="Z26" s="14">
        <v>491.81700912778382</v>
      </c>
      <c r="AA26" s="14" t="s">
        <v>85</v>
      </c>
      <c r="AB26" s="4" t="s">
        <v>312</v>
      </c>
      <c r="AC26" s="4" t="s">
        <v>313</v>
      </c>
      <c r="AD26" s="8" t="b">
        <v>1</v>
      </c>
      <c r="AE26" s="4" t="s">
        <v>348</v>
      </c>
    </row>
    <row r="27" spans="1:31">
      <c r="A27" s="4" t="s">
        <v>349</v>
      </c>
      <c r="B27" s="4" t="s">
        <v>175</v>
      </c>
      <c r="C27" s="4" t="s">
        <v>175</v>
      </c>
      <c r="D27" s="4" t="s">
        <v>168</v>
      </c>
      <c r="E27" s="4" t="s">
        <v>88</v>
      </c>
      <c r="F27" s="4">
        <v>100</v>
      </c>
      <c r="G27" s="4">
        <v>1</v>
      </c>
      <c r="H27" s="4">
        <v>1</v>
      </c>
      <c r="I27" s="14">
        <v>9.8384420000000006</v>
      </c>
      <c r="J27" s="14">
        <v>317.51709</v>
      </c>
      <c r="K27" s="14">
        <v>163</v>
      </c>
      <c r="L27" s="14">
        <v>7.7999999999999999E-5</v>
      </c>
      <c r="M27" s="14">
        <v>1530.83</v>
      </c>
      <c r="N27" s="14">
        <v>169.94580078125</v>
      </c>
      <c r="O27" s="14">
        <v>128.40721130371094</v>
      </c>
      <c r="P27" s="23">
        <v>17059.963025555015</v>
      </c>
      <c r="Q27" s="14">
        <v>474.24921321868896</v>
      </c>
      <c r="R27" s="14">
        <v>1.3234910956775727</v>
      </c>
      <c r="S27" s="14">
        <v>0.65505934698604817</v>
      </c>
      <c r="T27" s="14">
        <v>1</v>
      </c>
      <c r="U27" s="14">
        <v>27.127128601074219</v>
      </c>
      <c r="V27" s="14">
        <v>17059.963025555015</v>
      </c>
      <c r="W27" s="14">
        <v>147.38188340449574</v>
      </c>
      <c r="X27" s="14">
        <v>0.95317953961672697</v>
      </c>
      <c r="Y27" s="14">
        <v>4127.9763116629574</v>
      </c>
      <c r="Z27" s="14">
        <v>1649.188193077073</v>
      </c>
      <c r="AA27" s="14" t="s">
        <v>85</v>
      </c>
      <c r="AB27" s="4" t="s">
        <v>312</v>
      </c>
      <c r="AC27" s="4" t="s">
        <v>313</v>
      </c>
      <c r="AD27" s="8" t="b">
        <v>1</v>
      </c>
      <c r="AE27" s="4" t="s">
        <v>350</v>
      </c>
    </row>
    <row r="28" spans="1:31">
      <c r="A28" s="4" t="s">
        <v>351</v>
      </c>
      <c r="B28" s="4" t="s">
        <v>175</v>
      </c>
      <c r="C28" s="4" t="s">
        <v>175</v>
      </c>
      <c r="D28" s="4" t="s">
        <v>168</v>
      </c>
      <c r="E28" s="4" t="s">
        <v>88</v>
      </c>
      <c r="F28" s="4">
        <v>100</v>
      </c>
      <c r="G28" s="4">
        <v>2</v>
      </c>
      <c r="H28" s="4">
        <v>2</v>
      </c>
      <c r="I28" s="14">
        <v>9.5661240000000003</v>
      </c>
      <c r="J28" s="14">
        <v>219.30012500000001</v>
      </c>
      <c r="K28" s="14">
        <v>167</v>
      </c>
      <c r="L28" s="14">
        <v>1.289E-3</v>
      </c>
      <c r="M28" s="14">
        <v>474.26</v>
      </c>
      <c r="N28" s="14">
        <v>181.44084167480469</v>
      </c>
      <c r="O28" s="14">
        <v>116.99677276611328</v>
      </c>
      <c r="P28" s="23">
        <v>16427.592068761587</v>
      </c>
      <c r="Q28" s="14">
        <v>478.79764938354492</v>
      </c>
      <c r="R28" s="14">
        <v>1.5508192011203652</v>
      </c>
      <c r="S28" s="14">
        <v>0.76433404563775298</v>
      </c>
      <c r="T28" s="14">
        <v>1</v>
      </c>
      <c r="U28" s="14">
        <v>151.85987091064453</v>
      </c>
      <c r="V28" s="14">
        <v>16427.592068761587</v>
      </c>
      <c r="W28" s="14">
        <v>144.62454787042543</v>
      </c>
      <c r="X28" s="14">
        <v>0.90049178394877094</v>
      </c>
      <c r="Y28" s="14">
        <v>3244.2558182601497</v>
      </c>
      <c r="Z28" s="14">
        <v>3436.0426636407992</v>
      </c>
      <c r="AA28" s="14" t="s">
        <v>85</v>
      </c>
      <c r="AB28" s="4" t="s">
        <v>312</v>
      </c>
      <c r="AC28" s="4" t="s">
        <v>313</v>
      </c>
      <c r="AD28" s="8" t="b">
        <v>1</v>
      </c>
      <c r="AE28" s="4" t="s">
        <v>352</v>
      </c>
    </row>
    <row r="29" spans="1:31">
      <c r="A29" s="4" t="s">
        <v>353</v>
      </c>
      <c r="B29" s="4" t="s">
        <v>175</v>
      </c>
      <c r="C29" s="4" t="s">
        <v>175</v>
      </c>
      <c r="D29" s="4" t="s">
        <v>168</v>
      </c>
      <c r="E29" s="4" t="s">
        <v>88</v>
      </c>
      <c r="F29" s="4">
        <v>100</v>
      </c>
      <c r="G29" s="4">
        <v>3</v>
      </c>
      <c r="H29" s="4">
        <v>3</v>
      </c>
      <c r="I29" s="14">
        <v>9.5263410000000004</v>
      </c>
      <c r="J29" s="14">
        <v>226.39588900000001</v>
      </c>
      <c r="K29" s="14">
        <v>164</v>
      </c>
      <c r="L29" s="14">
        <v>1.17E-4</v>
      </c>
      <c r="M29" s="14">
        <v>152.49</v>
      </c>
      <c r="N29" s="14">
        <v>194.95132446289062</v>
      </c>
      <c r="O29" s="14">
        <v>90.207748413085938</v>
      </c>
      <c r="P29" s="23">
        <v>11490.268866062164</v>
      </c>
      <c r="Q29" s="14">
        <v>450.73238086700439</v>
      </c>
      <c r="R29" s="14">
        <v>2.1611372403416524</v>
      </c>
      <c r="S29" s="14">
        <v>0.88650482870628033</v>
      </c>
      <c r="T29" s="14">
        <v>0.99009472136107346</v>
      </c>
      <c r="U29" s="14">
        <v>39.495071411132812</v>
      </c>
      <c r="V29" s="14">
        <v>11605.22182187438</v>
      </c>
      <c r="W29" s="14">
        <v>120.95397761094756</v>
      </c>
      <c r="X29" s="14">
        <v>0.71072654586348671</v>
      </c>
      <c r="Y29" s="14">
        <v>3096.5335648750411</v>
      </c>
      <c r="Z29" s="14">
        <v>3745.7329350905156</v>
      </c>
      <c r="AA29" s="14" t="s">
        <v>85</v>
      </c>
      <c r="AB29" s="4" t="s">
        <v>312</v>
      </c>
      <c r="AC29" s="4" t="s">
        <v>313</v>
      </c>
      <c r="AD29" s="8" t="b">
        <v>1</v>
      </c>
      <c r="AE29" s="4" t="s">
        <v>354</v>
      </c>
    </row>
    <row r="30" spans="1:31">
      <c r="A30" s="4" t="s">
        <v>355</v>
      </c>
      <c r="B30" s="4" t="s">
        <v>187</v>
      </c>
      <c r="C30" s="4" t="s">
        <v>187</v>
      </c>
      <c r="D30" s="4" t="s">
        <v>181</v>
      </c>
      <c r="E30" s="4" t="s">
        <v>88</v>
      </c>
      <c r="F30" s="4">
        <v>100</v>
      </c>
      <c r="G30" s="4">
        <v>1</v>
      </c>
      <c r="H30" s="4">
        <v>1</v>
      </c>
      <c r="I30" s="14">
        <v>9.2620730000000009</v>
      </c>
      <c r="J30" s="14">
        <v>128.80308500000001</v>
      </c>
      <c r="K30" s="14">
        <v>177</v>
      </c>
      <c r="L30" s="14">
        <v>9.6480000000000003E-3</v>
      </c>
      <c r="M30" s="14">
        <v>1750.49</v>
      </c>
      <c r="N30" s="14">
        <v>170.33323669433594</v>
      </c>
      <c r="O30" s="14">
        <v>90.901237487792969</v>
      </c>
      <c r="P30" s="23">
        <v>12374.59179982543</v>
      </c>
      <c r="Q30" s="14">
        <v>438.8569507598877</v>
      </c>
      <c r="R30" s="14">
        <v>1.8738274791606639</v>
      </c>
      <c r="S30" s="14">
        <v>0.84569466716319142</v>
      </c>
      <c r="T30" s="14">
        <v>0.99598595855240779</v>
      </c>
      <c r="U30" s="14">
        <v>39.391376495361328</v>
      </c>
      <c r="V30" s="14">
        <v>12424.464113742113</v>
      </c>
      <c r="W30" s="14">
        <v>125.52218779758903</v>
      </c>
      <c r="X30" s="14">
        <v>0.80741122582179181</v>
      </c>
      <c r="Y30" s="14">
        <v>1850.8865944360423</v>
      </c>
      <c r="Z30" s="14">
        <v>3002.9746378345776</v>
      </c>
      <c r="AA30" s="14" t="s">
        <v>85</v>
      </c>
      <c r="AB30" s="4" t="s">
        <v>312</v>
      </c>
      <c r="AC30" s="4" t="s">
        <v>313</v>
      </c>
      <c r="AD30" s="8" t="b">
        <v>1</v>
      </c>
      <c r="AE30" s="4" t="s">
        <v>356</v>
      </c>
    </row>
    <row r="31" spans="1:31">
      <c r="A31" s="4" t="s">
        <v>357</v>
      </c>
      <c r="B31" s="4" t="s">
        <v>187</v>
      </c>
      <c r="C31" s="4" t="s">
        <v>187</v>
      </c>
      <c r="D31" s="4" t="s">
        <v>181</v>
      </c>
      <c r="E31" s="4" t="s">
        <v>88</v>
      </c>
      <c r="F31" s="4">
        <v>100</v>
      </c>
      <c r="G31" s="4">
        <v>2</v>
      </c>
      <c r="H31" s="4">
        <v>2</v>
      </c>
      <c r="I31" s="14">
        <v>9.2220750000000002</v>
      </c>
      <c r="J31" s="14">
        <v>93.451911999999993</v>
      </c>
      <c r="K31" s="14">
        <v>191</v>
      </c>
      <c r="L31" s="14">
        <v>3.3672000000000001E-2</v>
      </c>
      <c r="M31" s="14">
        <v>781.5</v>
      </c>
      <c r="N31" s="14">
        <v>191.63429260253906</v>
      </c>
      <c r="O31" s="14">
        <v>126.20828247070312</v>
      </c>
      <c r="P31" s="23">
        <v>16981.514440536499</v>
      </c>
      <c r="Q31" s="14">
        <v>514.80295562744141</v>
      </c>
      <c r="R31" s="14">
        <v>1.5183971198326334</v>
      </c>
      <c r="S31" s="14">
        <v>0.75250263616815238</v>
      </c>
      <c r="T31" s="14">
        <v>0.98540234220637002</v>
      </c>
      <c r="U31" s="14">
        <v>105.21322536468506</v>
      </c>
      <c r="V31" s="14">
        <v>17233.077001333237</v>
      </c>
      <c r="W31" s="14">
        <v>147.04263230499609</v>
      </c>
      <c r="X31" s="14">
        <v>0.80520084039199058</v>
      </c>
      <c r="Y31" s="14">
        <v>3128.5861178736295</v>
      </c>
      <c r="Z31" s="14">
        <v>4231.1270527420311</v>
      </c>
      <c r="AA31" s="14" t="s">
        <v>85</v>
      </c>
      <c r="AB31" s="4" t="s">
        <v>312</v>
      </c>
      <c r="AC31" s="4" t="s">
        <v>313</v>
      </c>
      <c r="AD31" s="8" t="b">
        <v>1</v>
      </c>
      <c r="AE31" s="4" t="s">
        <v>358</v>
      </c>
    </row>
    <row r="32" spans="1:31">
      <c r="A32" s="4" t="s">
        <v>359</v>
      </c>
      <c r="B32" s="4" t="s">
        <v>187</v>
      </c>
      <c r="C32" s="4" t="s">
        <v>187</v>
      </c>
      <c r="D32" s="4" t="s">
        <v>181</v>
      </c>
      <c r="E32" s="4" t="s">
        <v>88</v>
      </c>
      <c r="F32" s="4">
        <v>100</v>
      </c>
      <c r="G32" s="4">
        <v>3</v>
      </c>
      <c r="H32" s="4">
        <v>3</v>
      </c>
      <c r="I32" s="14">
        <v>9.1607990000000008</v>
      </c>
      <c r="J32" s="14">
        <v>88.800972000000002</v>
      </c>
      <c r="K32" s="14">
        <v>188</v>
      </c>
      <c r="L32" s="14">
        <v>1.2266000000000001E-2</v>
      </c>
      <c r="M32" s="14">
        <v>1173.3900000000001</v>
      </c>
      <c r="N32" s="14">
        <v>122.71418762207031</v>
      </c>
      <c r="O32" s="14">
        <v>116.93553924560547</v>
      </c>
      <c r="P32" s="23">
        <v>11653.306224584579</v>
      </c>
      <c r="Q32" s="14">
        <v>402.84503841400146</v>
      </c>
      <c r="R32" s="14">
        <v>1.0494173834040963</v>
      </c>
      <c r="S32" s="14">
        <v>0.30325420178458073</v>
      </c>
      <c r="T32" s="14">
        <v>0.99182280615570528</v>
      </c>
      <c r="U32" s="14">
        <v>80.670089721679688</v>
      </c>
      <c r="V32" s="14">
        <v>11749.383208632469</v>
      </c>
      <c r="W32" s="14">
        <v>121.80907319263828</v>
      </c>
      <c r="X32" s="14">
        <v>0.90236654339115241</v>
      </c>
      <c r="Y32" s="14">
        <v>2725.5135525615347</v>
      </c>
      <c r="Z32" s="14">
        <v>4655.6989683847405</v>
      </c>
      <c r="AA32" s="14" t="s">
        <v>85</v>
      </c>
      <c r="AB32" s="4" t="s">
        <v>312</v>
      </c>
      <c r="AC32" s="4" t="s">
        <v>313</v>
      </c>
      <c r="AD32" s="8" t="b">
        <v>1</v>
      </c>
      <c r="AE32" s="4" t="s">
        <v>360</v>
      </c>
    </row>
    <row r="33" spans="1:31">
      <c r="A33" s="4" t="s">
        <v>361</v>
      </c>
      <c r="B33" s="4" t="s">
        <v>199</v>
      </c>
      <c r="C33" s="4" t="s">
        <v>199</v>
      </c>
      <c r="D33" s="4" t="s">
        <v>193</v>
      </c>
      <c r="E33" s="4" t="s">
        <v>88</v>
      </c>
      <c r="F33" s="4">
        <v>100</v>
      </c>
      <c r="G33" s="4">
        <v>2</v>
      </c>
      <c r="H33" s="4">
        <v>1</v>
      </c>
      <c r="I33" s="14">
        <v>8.6024100000000008</v>
      </c>
      <c r="J33" s="14">
        <v>85.892844999999994</v>
      </c>
      <c r="K33" s="14">
        <v>167</v>
      </c>
      <c r="L33" s="14">
        <v>1.2422000000000001E-2</v>
      </c>
      <c r="M33" s="14">
        <v>1067.18</v>
      </c>
      <c r="N33" s="14">
        <v>137.68840026855469</v>
      </c>
      <c r="O33" s="14">
        <v>123.911376953125</v>
      </c>
      <c r="P33" s="23">
        <v>13409.803999066353</v>
      </c>
      <c r="Q33" s="14">
        <v>418.15528297424316</v>
      </c>
      <c r="R33" s="14">
        <v>1.1111844905140669</v>
      </c>
      <c r="S33" s="14">
        <v>0.43601258763028722</v>
      </c>
      <c r="T33" s="14">
        <v>1</v>
      </c>
      <c r="U33" s="14">
        <v>8.2618703842163086</v>
      </c>
      <c r="V33" s="14">
        <v>13409.803999066353</v>
      </c>
      <c r="W33" s="14">
        <v>130.66710656764008</v>
      </c>
      <c r="X33" s="14">
        <v>0.96373386059779198</v>
      </c>
      <c r="Y33" s="14">
        <v>2834.6042594440032</v>
      </c>
      <c r="Z33" s="14">
        <v>4156.7525648547307</v>
      </c>
      <c r="AA33" s="14" t="s">
        <v>85</v>
      </c>
      <c r="AB33" s="4" t="s">
        <v>312</v>
      </c>
      <c r="AC33" s="4" t="s">
        <v>313</v>
      </c>
      <c r="AD33" s="8" t="b">
        <v>1</v>
      </c>
      <c r="AE33" s="4" t="s">
        <v>362</v>
      </c>
    </row>
    <row r="34" spans="1:31">
      <c r="A34" s="4" t="s">
        <v>363</v>
      </c>
      <c r="B34" s="4" t="s">
        <v>199</v>
      </c>
      <c r="C34" s="4" t="s">
        <v>199</v>
      </c>
      <c r="D34" s="4" t="s">
        <v>193</v>
      </c>
      <c r="E34" s="4" t="s">
        <v>88</v>
      </c>
      <c r="F34" s="4">
        <v>100</v>
      </c>
      <c r="G34" s="4">
        <v>3</v>
      </c>
      <c r="H34" s="4">
        <v>2</v>
      </c>
      <c r="I34" s="14">
        <v>8.2542950000000008</v>
      </c>
      <c r="J34" s="14">
        <v>55.236621999999997</v>
      </c>
      <c r="K34" s="14">
        <v>174</v>
      </c>
      <c r="L34" s="14">
        <v>4.1758000000000003E-2</v>
      </c>
      <c r="M34" s="14">
        <v>1197.17</v>
      </c>
      <c r="N34" s="14">
        <v>113.30194091796875</v>
      </c>
      <c r="O34" s="14">
        <v>83.523590087890625</v>
      </c>
      <c r="P34" s="23">
        <v>6599.8301757127047</v>
      </c>
      <c r="Q34" s="14">
        <v>349.39702701568604</v>
      </c>
      <c r="R34" s="14">
        <v>1.356526231675899</v>
      </c>
      <c r="S34" s="14">
        <v>0.67569963975431491</v>
      </c>
      <c r="T34" s="14">
        <v>0.8913463914203047</v>
      </c>
      <c r="U34" s="14">
        <v>151.16485214233398</v>
      </c>
      <c r="V34" s="14">
        <v>7404.3382451981306</v>
      </c>
      <c r="W34" s="14">
        <v>91.668777499505438</v>
      </c>
      <c r="X34" s="14">
        <v>0.67936663499830174</v>
      </c>
      <c r="Y34" s="14">
        <v>2447.820391336913</v>
      </c>
      <c r="Z34" s="14">
        <v>1254.2035704199034</v>
      </c>
      <c r="AA34" s="14" t="s">
        <v>85</v>
      </c>
      <c r="AB34" s="4" t="s">
        <v>312</v>
      </c>
      <c r="AC34" s="4" t="s">
        <v>313</v>
      </c>
      <c r="AD34" s="8" t="b">
        <v>1</v>
      </c>
      <c r="AE34" s="4" t="s">
        <v>364</v>
      </c>
    </row>
    <row r="35" spans="1:31">
      <c r="A35" s="4" t="s">
        <v>365</v>
      </c>
      <c r="B35" s="4" t="s">
        <v>211</v>
      </c>
      <c r="C35" s="4" t="s">
        <v>211</v>
      </c>
      <c r="D35" s="4" t="s">
        <v>205</v>
      </c>
      <c r="E35" s="4" t="s">
        <v>88</v>
      </c>
      <c r="F35" s="4">
        <v>100</v>
      </c>
      <c r="G35" s="4">
        <v>4</v>
      </c>
      <c r="H35" s="4">
        <v>1</v>
      </c>
      <c r="I35" s="14">
        <v>7.2224370000000002</v>
      </c>
      <c r="J35" s="14">
        <v>57.699814000000003</v>
      </c>
      <c r="K35" s="14">
        <v>126</v>
      </c>
      <c r="L35" s="14">
        <v>0</v>
      </c>
      <c r="M35" s="14">
        <v>869.1</v>
      </c>
      <c r="N35" s="14">
        <v>121.04967498779297</v>
      </c>
      <c r="O35" s="14">
        <v>93.478935241699219</v>
      </c>
      <c r="P35" s="23">
        <v>8438.50169095397</v>
      </c>
      <c r="Q35" s="14">
        <v>339.7960090637207</v>
      </c>
      <c r="R35" s="14">
        <v>1.2949406695188261</v>
      </c>
      <c r="S35" s="14">
        <v>0.63533560043764903</v>
      </c>
      <c r="T35" s="14">
        <v>0.99734638958762056</v>
      </c>
      <c r="U35" s="14">
        <v>52.220485687255859</v>
      </c>
      <c r="V35" s="14">
        <v>8460.9537659659982</v>
      </c>
      <c r="W35" s="14">
        <v>103.6543971630588</v>
      </c>
      <c r="X35" s="14">
        <v>0.91841434462356775</v>
      </c>
      <c r="Y35" s="14">
        <v>953.7230897406431</v>
      </c>
      <c r="Z35" s="14">
        <v>3744.8613152917742</v>
      </c>
      <c r="AA35" s="14" t="s">
        <v>85</v>
      </c>
      <c r="AB35" s="4" t="s">
        <v>312</v>
      </c>
      <c r="AC35" s="4" t="s">
        <v>313</v>
      </c>
      <c r="AD35" s="8" t="b">
        <v>1</v>
      </c>
      <c r="AE35" s="4" t="s">
        <v>366</v>
      </c>
    </row>
    <row r="36" spans="1:31">
      <c r="A36" s="4" t="s">
        <v>367</v>
      </c>
      <c r="B36" s="4" t="s">
        <v>211</v>
      </c>
      <c r="C36" s="4" t="s">
        <v>211</v>
      </c>
      <c r="D36" s="4" t="s">
        <v>205</v>
      </c>
      <c r="E36" s="4" t="s">
        <v>88</v>
      </c>
      <c r="F36" s="4">
        <v>100</v>
      </c>
      <c r="G36" s="4">
        <v>9</v>
      </c>
      <c r="H36" s="4">
        <v>2</v>
      </c>
      <c r="I36" s="14">
        <v>6.9475259999999999</v>
      </c>
      <c r="J36" s="14">
        <v>49.818893000000003</v>
      </c>
      <c r="K36" s="14">
        <v>121</v>
      </c>
      <c r="L36" s="14">
        <v>1.9139999999999999E-3</v>
      </c>
      <c r="M36" s="14">
        <v>1216.71</v>
      </c>
      <c r="N36" s="14">
        <v>146.55020141601562</v>
      </c>
      <c r="O36" s="14">
        <v>107.26544189453125</v>
      </c>
      <c r="P36" s="23">
        <v>12098.535112500191</v>
      </c>
      <c r="Q36" s="14">
        <v>406.11553955078125</v>
      </c>
      <c r="R36" s="14">
        <v>1.3662387328820322</v>
      </c>
      <c r="S36" s="14">
        <v>0.68137284654891572</v>
      </c>
      <c r="T36" s="14">
        <v>1</v>
      </c>
      <c r="U36" s="14">
        <v>61.380943298339844</v>
      </c>
      <c r="V36" s="14">
        <v>12098.535112500191</v>
      </c>
      <c r="W36" s="14">
        <v>124.11419475064939</v>
      </c>
      <c r="X36" s="14">
        <v>0.92181429377818069</v>
      </c>
      <c r="Y36" s="14">
        <v>1520.5877785794376</v>
      </c>
      <c r="Z36" s="14">
        <v>4680.161217950922</v>
      </c>
      <c r="AA36" s="14" t="s">
        <v>85</v>
      </c>
      <c r="AB36" s="4" t="s">
        <v>312</v>
      </c>
      <c r="AC36" s="4" t="s">
        <v>313</v>
      </c>
      <c r="AD36" s="8" t="b">
        <v>1</v>
      </c>
      <c r="AE36" s="4" t="s">
        <v>368</v>
      </c>
    </row>
    <row r="37" spans="1:31">
      <c r="A37" s="4" t="s">
        <v>369</v>
      </c>
      <c r="B37" s="4" t="s">
        <v>223</v>
      </c>
      <c r="C37" s="4" t="s">
        <v>223</v>
      </c>
      <c r="D37" s="4" t="s">
        <v>217</v>
      </c>
      <c r="E37" s="4" t="s">
        <v>88</v>
      </c>
      <c r="F37" s="4">
        <v>100</v>
      </c>
      <c r="G37" s="4">
        <v>1</v>
      </c>
      <c r="H37" s="4">
        <v>1</v>
      </c>
      <c r="I37" s="14">
        <v>8.8780350000000006</v>
      </c>
      <c r="J37" s="14">
        <v>62.415889999999997</v>
      </c>
      <c r="K37" s="14">
        <v>190</v>
      </c>
      <c r="L37" s="14">
        <v>7.2269999999999999E-3</v>
      </c>
      <c r="M37" s="14">
        <v>1528.15</v>
      </c>
      <c r="N37" s="14">
        <v>80.214363098144531</v>
      </c>
      <c r="O37" s="14">
        <v>65.686805725097656</v>
      </c>
      <c r="P37" s="23">
        <v>4064.8046315908432</v>
      </c>
      <c r="Q37" s="14">
        <v>245.74104309082031</v>
      </c>
      <c r="R37" s="14">
        <v>1.2211640102252099</v>
      </c>
      <c r="S37" s="14">
        <v>0.57394931990438103</v>
      </c>
      <c r="T37" s="14">
        <v>0.99888696308682867</v>
      </c>
      <c r="U37" s="14">
        <v>92.013384342193604</v>
      </c>
      <c r="V37" s="14">
        <v>4069.3339504897594</v>
      </c>
      <c r="W37" s="14">
        <v>71.940739491362649</v>
      </c>
      <c r="X37" s="14">
        <v>0.8458515432558108</v>
      </c>
      <c r="Y37" s="14">
        <v>2430.1169741862418</v>
      </c>
      <c r="Z37" s="14">
        <v>2793.3305083105279</v>
      </c>
      <c r="AA37" s="14" t="s">
        <v>85</v>
      </c>
      <c r="AB37" s="4" t="s">
        <v>312</v>
      </c>
      <c r="AC37" s="4" t="s">
        <v>313</v>
      </c>
      <c r="AD37" s="8" t="b">
        <v>1</v>
      </c>
      <c r="AE37" s="4" t="s">
        <v>370</v>
      </c>
    </row>
    <row r="38" spans="1:31">
      <c r="A38" s="4" t="s">
        <v>371</v>
      </c>
      <c r="B38" s="4" t="s">
        <v>223</v>
      </c>
      <c r="C38" s="4" t="s">
        <v>223</v>
      </c>
      <c r="D38" s="4" t="s">
        <v>217</v>
      </c>
      <c r="E38" s="4" t="s">
        <v>88</v>
      </c>
      <c r="F38" s="4">
        <v>100</v>
      </c>
      <c r="G38" s="4">
        <v>2</v>
      </c>
      <c r="H38" s="4">
        <v>2</v>
      </c>
      <c r="I38" s="14">
        <v>8.834676</v>
      </c>
      <c r="J38" s="14">
        <v>51.649700000000003</v>
      </c>
      <c r="K38" s="14">
        <v>198</v>
      </c>
      <c r="L38" s="14">
        <v>2.6328000000000001E-2</v>
      </c>
      <c r="M38" s="14">
        <v>192.81</v>
      </c>
      <c r="N38" s="14">
        <v>158.74191284179688</v>
      </c>
      <c r="O38" s="14">
        <v>102.37369537353516</v>
      </c>
      <c r="P38" s="23">
        <v>12966.380128473043</v>
      </c>
      <c r="Q38" s="14">
        <v>431.5581579208374</v>
      </c>
      <c r="R38" s="14">
        <v>1.5506123156206157</v>
      </c>
      <c r="S38" s="14">
        <v>0.76426145662759559</v>
      </c>
      <c r="T38" s="14">
        <v>1</v>
      </c>
      <c r="U38" s="14">
        <v>97.184719562530518</v>
      </c>
      <c r="V38" s="14">
        <v>12966.380128473043</v>
      </c>
      <c r="W38" s="14">
        <v>128.48855175322072</v>
      </c>
      <c r="X38" s="14">
        <v>0.87488294833315428</v>
      </c>
      <c r="Y38" s="14">
        <v>1424.7608050774338</v>
      </c>
      <c r="Z38" s="14">
        <v>5718.2692746425773</v>
      </c>
      <c r="AA38" s="14" t="s">
        <v>85</v>
      </c>
      <c r="AB38" s="4" t="s">
        <v>312</v>
      </c>
      <c r="AC38" s="4" t="s">
        <v>313</v>
      </c>
      <c r="AD38" s="8" t="b">
        <v>1</v>
      </c>
      <c r="AE38" s="4" t="s">
        <v>372</v>
      </c>
    </row>
    <row r="39" spans="1:31">
      <c r="A39" s="4" t="s">
        <v>373</v>
      </c>
      <c r="B39" s="4" t="s">
        <v>223</v>
      </c>
      <c r="C39" s="4" t="s">
        <v>223</v>
      </c>
      <c r="D39" s="4" t="s">
        <v>217</v>
      </c>
      <c r="E39" s="4" t="s">
        <v>88</v>
      </c>
      <c r="F39" s="4">
        <v>100</v>
      </c>
      <c r="G39" s="4">
        <v>3</v>
      </c>
      <c r="H39" s="4">
        <v>3</v>
      </c>
      <c r="I39" s="14">
        <v>8.7022829999999995</v>
      </c>
      <c r="J39" s="14">
        <v>46.481006999999998</v>
      </c>
      <c r="K39" s="14">
        <v>195</v>
      </c>
      <c r="L39" s="14">
        <v>1.1016E-2</v>
      </c>
      <c r="M39" s="14">
        <v>542.39</v>
      </c>
      <c r="N39" s="14">
        <v>112.48171234130859</v>
      </c>
      <c r="O39" s="14">
        <v>106.42737579345703</v>
      </c>
      <c r="P39" s="23">
        <v>9644.5411538481712</v>
      </c>
      <c r="Q39" s="14">
        <v>357.84566211700439</v>
      </c>
      <c r="R39" s="14">
        <v>1.0568870227487444</v>
      </c>
      <c r="S39" s="14">
        <v>0.32365569726970828</v>
      </c>
      <c r="T39" s="14">
        <v>0.99132730872357044</v>
      </c>
      <c r="U39" s="14">
        <v>140.48150253295898</v>
      </c>
      <c r="V39" s="14">
        <v>9728.9170478582382</v>
      </c>
      <c r="W39" s="14">
        <v>110.81430949072049</v>
      </c>
      <c r="X39" s="14">
        <v>0.94645489273607553</v>
      </c>
      <c r="Y39" s="14">
        <v>3389.7612656275055</v>
      </c>
      <c r="Z39" s="14">
        <v>4295.0641301329679</v>
      </c>
      <c r="AA39" s="14" t="s">
        <v>85</v>
      </c>
      <c r="AB39" s="4" t="s">
        <v>312</v>
      </c>
      <c r="AC39" s="4" t="s">
        <v>313</v>
      </c>
      <c r="AD39" s="8" t="b">
        <v>1</v>
      </c>
      <c r="AE39" s="4" t="s">
        <v>374</v>
      </c>
    </row>
    <row r="40" spans="1:31">
      <c r="A40" s="4" t="s">
        <v>375</v>
      </c>
      <c r="B40" s="4" t="s">
        <v>235</v>
      </c>
      <c r="C40" s="4" t="s">
        <v>235</v>
      </c>
      <c r="D40" s="4" t="s">
        <v>229</v>
      </c>
      <c r="E40" s="4" t="s">
        <v>88</v>
      </c>
      <c r="F40" s="4">
        <v>100</v>
      </c>
      <c r="G40" s="4">
        <v>1</v>
      </c>
      <c r="H40" s="4">
        <v>1</v>
      </c>
      <c r="I40" s="14">
        <v>9.7065599999999996</v>
      </c>
      <c r="J40" s="14">
        <v>105.42686500000001</v>
      </c>
      <c r="K40" s="14">
        <v>202</v>
      </c>
      <c r="L40" s="14">
        <v>3.6329999999999999E-3</v>
      </c>
      <c r="M40" s="14">
        <v>1644.4</v>
      </c>
      <c r="N40" s="14">
        <v>130.57176208496094</v>
      </c>
      <c r="O40" s="14">
        <v>104.47311401367188</v>
      </c>
      <c r="P40" s="23">
        <v>10574.155366435647</v>
      </c>
      <c r="Q40" s="14">
        <v>378.1513843536377</v>
      </c>
      <c r="R40" s="14">
        <v>1.2498121006316865</v>
      </c>
      <c r="S40" s="14">
        <v>0.59983960160523342</v>
      </c>
      <c r="T40" s="14">
        <v>1</v>
      </c>
      <c r="U40" s="14">
        <v>78.184959411621094</v>
      </c>
      <c r="V40" s="14">
        <v>10574.155366435647</v>
      </c>
      <c r="W40" s="14">
        <v>116.03203335596339</v>
      </c>
      <c r="X40" s="14">
        <v>0.92923201027031943</v>
      </c>
      <c r="Y40" s="14">
        <v>1723.0932096219544</v>
      </c>
      <c r="Z40" s="14">
        <v>2367.9770595966143</v>
      </c>
      <c r="AA40" s="14" t="s">
        <v>85</v>
      </c>
      <c r="AB40" s="4" t="s">
        <v>312</v>
      </c>
      <c r="AC40" s="4" t="s">
        <v>313</v>
      </c>
      <c r="AD40" s="8" t="b">
        <v>1</v>
      </c>
      <c r="AE40" s="4" t="s">
        <v>376</v>
      </c>
    </row>
    <row r="41" spans="1:31">
      <c r="A41" s="4" t="s">
        <v>377</v>
      </c>
      <c r="B41" s="4" t="s">
        <v>235</v>
      </c>
      <c r="C41" s="4" t="s">
        <v>235</v>
      </c>
      <c r="D41" s="4" t="s">
        <v>229</v>
      </c>
      <c r="E41" s="4" t="s">
        <v>88</v>
      </c>
      <c r="F41" s="4">
        <v>100</v>
      </c>
      <c r="G41" s="4">
        <v>2</v>
      </c>
      <c r="H41" s="4">
        <v>2</v>
      </c>
      <c r="I41" s="14">
        <v>9.4597920000000002</v>
      </c>
      <c r="J41" s="14">
        <v>94.563568000000004</v>
      </c>
      <c r="K41" s="14">
        <v>196</v>
      </c>
      <c r="L41" s="14">
        <v>0</v>
      </c>
      <c r="M41" s="14">
        <v>846.69</v>
      </c>
      <c r="N41" s="14">
        <v>158.63223266601562</v>
      </c>
      <c r="O41" s="14">
        <v>106.84431457519531</v>
      </c>
      <c r="P41" s="23">
        <v>12810.990210004151</v>
      </c>
      <c r="Q41" s="14">
        <v>430.30417060852051</v>
      </c>
      <c r="R41" s="14">
        <v>1.484704481438484</v>
      </c>
      <c r="S41" s="14">
        <v>0.7391555969818101</v>
      </c>
      <c r="T41" s="14">
        <v>1</v>
      </c>
      <c r="U41" s="14">
        <v>82.828269958496094</v>
      </c>
      <c r="V41" s="14">
        <v>12810.990210004151</v>
      </c>
      <c r="W41" s="14">
        <v>127.71632371232862</v>
      </c>
      <c r="X41" s="14">
        <v>0.86944367524604804</v>
      </c>
      <c r="Y41" s="14">
        <v>940.98026881887358</v>
      </c>
      <c r="Z41" s="14">
        <v>2529.660936118541</v>
      </c>
      <c r="AA41" s="14" t="s">
        <v>85</v>
      </c>
      <c r="AB41" s="4" t="s">
        <v>312</v>
      </c>
      <c r="AC41" s="4" t="s">
        <v>313</v>
      </c>
      <c r="AD41" s="8" t="b">
        <v>1</v>
      </c>
      <c r="AE41" s="4" t="s">
        <v>378</v>
      </c>
    </row>
    <row r="42" spans="1:31">
      <c r="A42" s="4" t="s">
        <v>379</v>
      </c>
      <c r="B42" s="4" t="s">
        <v>235</v>
      </c>
      <c r="C42" s="4" t="s">
        <v>235</v>
      </c>
      <c r="D42" s="4" t="s">
        <v>229</v>
      </c>
      <c r="E42" s="4" t="s">
        <v>88</v>
      </c>
      <c r="F42" s="4">
        <v>100</v>
      </c>
      <c r="G42" s="4">
        <v>3</v>
      </c>
      <c r="H42" s="4">
        <v>3</v>
      </c>
      <c r="I42" s="14">
        <v>9.3825869999999991</v>
      </c>
      <c r="J42" s="14">
        <v>78.555458000000002</v>
      </c>
      <c r="K42" s="14">
        <v>201</v>
      </c>
      <c r="L42" s="14">
        <v>6.2890000000000003E-3</v>
      </c>
      <c r="M42" s="14">
        <v>240.97</v>
      </c>
      <c r="N42" s="14">
        <v>139.84930419921875</v>
      </c>
      <c r="O42" s="14">
        <v>99.659461975097656</v>
      </c>
      <c r="P42" s="23">
        <v>9832.2633783835918</v>
      </c>
      <c r="Q42" s="14">
        <v>394.7057580947876</v>
      </c>
      <c r="R42" s="14">
        <v>1.4032717157771082</v>
      </c>
      <c r="S42" s="14">
        <v>0.70154986830188826</v>
      </c>
      <c r="T42" s="14">
        <v>0.96688970660721674</v>
      </c>
      <c r="U42" s="14">
        <v>61.630630493164062</v>
      </c>
      <c r="V42" s="14">
        <v>10168.960648970678</v>
      </c>
      <c r="W42" s="14">
        <v>111.88756207733431</v>
      </c>
      <c r="X42" s="14">
        <v>0.79307898743409466</v>
      </c>
      <c r="Y42" s="14">
        <v>2381.0535367303032</v>
      </c>
      <c r="Z42" s="14">
        <v>307.98402462550274</v>
      </c>
      <c r="AA42" s="14" t="s">
        <v>85</v>
      </c>
      <c r="AB42" s="4" t="s">
        <v>312</v>
      </c>
      <c r="AC42" s="4" t="s">
        <v>313</v>
      </c>
      <c r="AD42" s="8" t="b">
        <v>1</v>
      </c>
      <c r="AE42" s="4" t="s">
        <v>380</v>
      </c>
    </row>
    <row r="43" spans="1:31">
      <c r="A43" s="4" t="s">
        <v>381</v>
      </c>
      <c r="B43" s="4" t="s">
        <v>248</v>
      </c>
      <c r="C43" s="4" t="s">
        <v>248</v>
      </c>
      <c r="D43" s="4" t="s">
        <v>241</v>
      </c>
      <c r="E43" s="4" t="s">
        <v>88</v>
      </c>
      <c r="F43" s="4">
        <v>100</v>
      </c>
      <c r="G43" s="4">
        <v>2</v>
      </c>
      <c r="H43" s="4">
        <v>1</v>
      </c>
      <c r="I43" s="14">
        <v>8.2847139999999992</v>
      </c>
      <c r="J43" s="14">
        <v>52.946612999999999</v>
      </c>
      <c r="K43" s="14">
        <v>172</v>
      </c>
      <c r="L43" s="14">
        <v>1.0939999999999999E-3</v>
      </c>
      <c r="M43" s="14">
        <v>973.41</v>
      </c>
      <c r="N43" s="14">
        <v>144.7874755859375</v>
      </c>
      <c r="O43" s="14">
        <v>96.657707214355469</v>
      </c>
      <c r="P43" s="23">
        <v>11513.698088929057</v>
      </c>
      <c r="Q43" s="14">
        <v>402.1303539276123</v>
      </c>
      <c r="R43" s="14">
        <v>1.4979403066622075</v>
      </c>
      <c r="S43" s="14">
        <v>0.74453507503185934</v>
      </c>
      <c r="T43" s="14">
        <v>1</v>
      </c>
      <c r="U43" s="14">
        <v>41.312145233154297</v>
      </c>
      <c r="V43" s="14">
        <v>11513.698088929057</v>
      </c>
      <c r="W43" s="14">
        <v>121.07723036544132</v>
      </c>
      <c r="X43" s="14">
        <v>0.89472791861656553</v>
      </c>
      <c r="Y43" s="14">
        <v>1102.5955396731213</v>
      </c>
      <c r="Z43" s="14">
        <v>1028.3938010235431</v>
      </c>
      <c r="AA43" s="14" t="s">
        <v>85</v>
      </c>
      <c r="AB43" s="4" t="s">
        <v>312</v>
      </c>
      <c r="AC43" s="4" t="s">
        <v>313</v>
      </c>
      <c r="AD43" s="8" t="b">
        <v>1</v>
      </c>
      <c r="AE43" s="4" t="s">
        <v>382</v>
      </c>
    </row>
    <row r="44" spans="1:31">
      <c r="A44" s="4" t="s">
        <v>383</v>
      </c>
      <c r="B44" s="4" t="s">
        <v>248</v>
      </c>
      <c r="C44" s="4" t="s">
        <v>248</v>
      </c>
      <c r="D44" s="4" t="s">
        <v>241</v>
      </c>
      <c r="E44" s="4" t="s">
        <v>88</v>
      </c>
      <c r="F44" s="4">
        <v>100</v>
      </c>
      <c r="G44" s="4">
        <v>4</v>
      </c>
      <c r="H44" s="4">
        <v>2</v>
      </c>
      <c r="I44" s="14">
        <v>7.9073599999999997</v>
      </c>
      <c r="J44" s="14">
        <v>50.087090000000003</v>
      </c>
      <c r="K44" s="14">
        <v>159</v>
      </c>
      <c r="L44" s="14">
        <v>3.9100000000000002E-4</v>
      </c>
      <c r="M44" s="14">
        <v>116.92</v>
      </c>
      <c r="N44" s="14">
        <v>129.54714965820312</v>
      </c>
      <c r="O44" s="14">
        <v>111.64486694335938</v>
      </c>
      <c r="P44" s="23">
        <v>11233.359214007854</v>
      </c>
      <c r="Q44" s="14">
        <v>382.8127555847168</v>
      </c>
      <c r="R44" s="14">
        <v>1.1603502534865853</v>
      </c>
      <c r="S44" s="14">
        <v>0.50723335919523527</v>
      </c>
      <c r="T44" s="14">
        <v>0.99639229369101712</v>
      </c>
      <c r="U44" s="14">
        <v>88.619453430175781</v>
      </c>
      <c r="V44" s="14">
        <v>11274.032612591982</v>
      </c>
      <c r="W44" s="14">
        <v>119.59413518851962</v>
      </c>
      <c r="X44" s="14">
        <v>0.96326706160775433</v>
      </c>
      <c r="Y44" s="14">
        <v>2902.9302712135514</v>
      </c>
      <c r="Z44" s="14">
        <v>3796.082432238421</v>
      </c>
      <c r="AA44" s="14" t="s">
        <v>85</v>
      </c>
      <c r="AB44" s="4" t="s">
        <v>312</v>
      </c>
      <c r="AC44" s="4" t="s">
        <v>313</v>
      </c>
      <c r="AD44" s="8" t="b">
        <v>1</v>
      </c>
      <c r="AE44" s="4" t="s">
        <v>384</v>
      </c>
    </row>
    <row r="45" spans="1:31">
      <c r="A45" s="4" t="s">
        <v>385</v>
      </c>
      <c r="B45" s="4" t="s">
        <v>260</v>
      </c>
      <c r="C45" s="4" t="s">
        <v>260</v>
      </c>
      <c r="D45" s="4" t="s">
        <v>254</v>
      </c>
      <c r="E45" s="4" t="s">
        <v>88</v>
      </c>
      <c r="F45" s="4">
        <v>100</v>
      </c>
      <c r="G45" s="4">
        <v>2</v>
      </c>
      <c r="H45" s="4">
        <v>1</v>
      </c>
      <c r="I45" s="14">
        <v>9.0843849999999993</v>
      </c>
      <c r="J45" s="14">
        <v>107.752281</v>
      </c>
      <c r="K45" s="14">
        <v>176</v>
      </c>
      <c r="L45" s="14">
        <v>1.5629999999999999E-3</v>
      </c>
      <c r="M45" s="14">
        <v>288.5</v>
      </c>
      <c r="N45" s="14">
        <v>137.19486999511719</v>
      </c>
      <c r="O45" s="14">
        <v>124.98588562011719</v>
      </c>
      <c r="P45" s="23">
        <v>13578.965621232986</v>
      </c>
      <c r="Q45" s="14">
        <v>420.83752632141113</v>
      </c>
      <c r="R45" s="14">
        <v>1.0976829048690191</v>
      </c>
      <c r="S45" s="14">
        <v>0.4123844700529789</v>
      </c>
      <c r="T45" s="14">
        <v>0.99952644096970122</v>
      </c>
      <c r="U45" s="14">
        <v>139.89625549316406</v>
      </c>
      <c r="V45" s="14">
        <v>13585.399109661579</v>
      </c>
      <c r="W45" s="14">
        <v>131.48869155008393</v>
      </c>
      <c r="X45" s="14">
        <v>0.96349093841871947</v>
      </c>
      <c r="Y45" s="14">
        <v>3070.4448499150826</v>
      </c>
      <c r="Z45" s="14">
        <v>3630.0451577214735</v>
      </c>
      <c r="AA45" s="14" t="s">
        <v>85</v>
      </c>
      <c r="AB45" s="4" t="s">
        <v>312</v>
      </c>
      <c r="AC45" s="4" t="s">
        <v>313</v>
      </c>
      <c r="AD45" s="8" t="b">
        <v>1</v>
      </c>
      <c r="AE45" s="4" t="s">
        <v>386</v>
      </c>
    </row>
    <row r="46" spans="1:31">
      <c r="A46" s="4" t="s">
        <v>387</v>
      </c>
      <c r="B46" s="4" t="s">
        <v>260</v>
      </c>
      <c r="C46" s="4" t="s">
        <v>260</v>
      </c>
      <c r="D46" s="4" t="s">
        <v>254</v>
      </c>
      <c r="E46" s="4" t="s">
        <v>88</v>
      </c>
      <c r="F46" s="4">
        <v>100</v>
      </c>
      <c r="G46" s="4">
        <v>3</v>
      </c>
      <c r="H46" s="4">
        <v>2</v>
      </c>
      <c r="I46" s="14">
        <v>8.9371609999999997</v>
      </c>
      <c r="J46" s="14">
        <v>134.98060599999999</v>
      </c>
      <c r="K46" s="14">
        <v>161</v>
      </c>
      <c r="L46" s="14">
        <v>1.17E-4</v>
      </c>
      <c r="M46" s="14">
        <v>761.18</v>
      </c>
      <c r="N46" s="14">
        <v>191.74467468261719</v>
      </c>
      <c r="O46" s="14">
        <v>139.94050598144531</v>
      </c>
      <c r="P46" s="23">
        <v>20350.220351785421</v>
      </c>
      <c r="Q46" s="14">
        <v>525.81636428833008</v>
      </c>
      <c r="R46" s="14">
        <v>1.3701870901341502</v>
      </c>
      <c r="S46" s="14">
        <v>0.68363151846402925</v>
      </c>
      <c r="T46" s="14">
        <v>0.99691524437817292</v>
      </c>
      <c r="U46" s="14">
        <v>74.4072265625</v>
      </c>
      <c r="V46" s="14">
        <v>20413.190054565668</v>
      </c>
      <c r="W46" s="14">
        <v>160.96802569444503</v>
      </c>
      <c r="X46" s="14">
        <v>0.92493408539606825</v>
      </c>
      <c r="Y46" s="14">
        <v>1252.0465979253745</v>
      </c>
      <c r="Z46" s="14">
        <v>3129.9005507218521</v>
      </c>
      <c r="AA46" s="14" t="s">
        <v>85</v>
      </c>
      <c r="AB46" s="4" t="s">
        <v>312</v>
      </c>
      <c r="AC46" s="4" t="s">
        <v>313</v>
      </c>
      <c r="AD46" s="8" t="b">
        <v>1</v>
      </c>
      <c r="AE46" s="4" t="s">
        <v>388</v>
      </c>
    </row>
    <row r="47" spans="1:31">
      <c r="A47" s="4" t="s">
        <v>389</v>
      </c>
      <c r="B47" s="4" t="s">
        <v>260</v>
      </c>
      <c r="C47" s="4" t="s">
        <v>260</v>
      </c>
      <c r="D47" s="4" t="s">
        <v>254</v>
      </c>
      <c r="E47" s="4" t="s">
        <v>88</v>
      </c>
      <c r="F47" s="4">
        <v>100</v>
      </c>
      <c r="G47" s="4">
        <v>43</v>
      </c>
      <c r="H47" s="4">
        <v>3</v>
      </c>
      <c r="I47" s="14">
        <v>7.6386070000000004</v>
      </c>
      <c r="J47" s="14">
        <v>50.554057999999998</v>
      </c>
      <c r="K47" s="14">
        <v>156</v>
      </c>
      <c r="L47" s="14">
        <v>6.8007999999999999E-2</v>
      </c>
      <c r="M47" s="14">
        <v>744.85</v>
      </c>
      <c r="N47" s="14">
        <v>116.81157684326172</v>
      </c>
      <c r="O47" s="14">
        <v>91.505722045898438</v>
      </c>
      <c r="P47" s="23">
        <v>8153.4822196550667</v>
      </c>
      <c r="Q47" s="14">
        <v>331.55874824523926</v>
      </c>
      <c r="R47" s="14">
        <v>1.2765494247962996</v>
      </c>
      <c r="S47" s="14">
        <v>0.6215660528416479</v>
      </c>
      <c r="T47" s="14">
        <v>0.9983196915006799</v>
      </c>
      <c r="U47" s="14">
        <v>83.657325744628906</v>
      </c>
      <c r="V47" s="14">
        <v>8167.2056447155774</v>
      </c>
      <c r="W47" s="14">
        <v>101.88884133878381</v>
      </c>
      <c r="X47" s="14">
        <v>0.93203454590036183</v>
      </c>
      <c r="Y47" s="14">
        <v>802.94031732404596</v>
      </c>
      <c r="Z47" s="14">
        <v>1560.8152027713463</v>
      </c>
      <c r="AA47" s="14" t="s">
        <v>85</v>
      </c>
      <c r="AB47" s="4" t="s">
        <v>312</v>
      </c>
      <c r="AC47" s="4" t="s">
        <v>313</v>
      </c>
      <c r="AD47" s="8" t="b">
        <v>1</v>
      </c>
      <c r="AE47" s="4" t="s">
        <v>390</v>
      </c>
    </row>
    <row r="48" spans="1:31">
      <c r="A48" s="4" t="s">
        <v>391</v>
      </c>
      <c r="B48" s="4" t="s">
        <v>272</v>
      </c>
      <c r="C48" s="4" t="s">
        <v>272</v>
      </c>
      <c r="D48" s="4" t="s">
        <v>266</v>
      </c>
      <c r="E48" s="4" t="s">
        <v>88</v>
      </c>
      <c r="F48" s="4">
        <v>100</v>
      </c>
      <c r="G48" s="4">
        <v>1</v>
      </c>
      <c r="H48" s="4">
        <v>1</v>
      </c>
      <c r="I48" s="14">
        <v>8.9404260000000004</v>
      </c>
      <c r="J48" s="14">
        <v>115.467697</v>
      </c>
      <c r="K48" s="14">
        <v>169</v>
      </c>
      <c r="L48" s="14">
        <v>1.4063000000000001E-2</v>
      </c>
      <c r="M48" s="14">
        <v>727.86</v>
      </c>
      <c r="N48" s="14">
        <v>208.59111022949219</v>
      </c>
      <c r="O48" s="14">
        <v>126.40132904052734</v>
      </c>
      <c r="P48" s="23">
        <v>19620.46249242872</v>
      </c>
      <c r="Q48" s="14">
        <v>527.6578254699707</v>
      </c>
      <c r="R48" s="14">
        <v>1.650228773801997</v>
      </c>
      <c r="S48" s="14">
        <v>0.79548248006747047</v>
      </c>
      <c r="T48" s="14">
        <v>1</v>
      </c>
      <c r="U48" s="14">
        <v>52.696052551269531</v>
      </c>
      <c r="V48" s="14">
        <v>19620.46249242872</v>
      </c>
      <c r="W48" s="14">
        <v>158.05552420384831</v>
      </c>
      <c r="X48" s="14">
        <v>0.88555254930838989</v>
      </c>
      <c r="Y48" s="14">
        <v>2357.7848847006712</v>
      </c>
      <c r="Z48" s="14">
        <v>842.65452761583776</v>
      </c>
      <c r="AA48" s="14" t="s">
        <v>85</v>
      </c>
      <c r="AB48" s="4" t="s">
        <v>312</v>
      </c>
      <c r="AC48" s="4" t="s">
        <v>313</v>
      </c>
      <c r="AD48" s="8" t="b">
        <v>1</v>
      </c>
      <c r="AE48" s="4" t="s">
        <v>392</v>
      </c>
    </row>
    <row r="49" spans="1:31">
      <c r="A49" s="4" t="s">
        <v>393</v>
      </c>
      <c r="B49" s="4" t="s">
        <v>272</v>
      </c>
      <c r="C49" s="4" t="s">
        <v>272</v>
      </c>
      <c r="D49" s="4" t="s">
        <v>266</v>
      </c>
      <c r="E49" s="4" t="s">
        <v>88</v>
      </c>
      <c r="F49" s="4">
        <v>100</v>
      </c>
      <c r="G49" s="4">
        <v>2</v>
      </c>
      <c r="H49" s="4">
        <v>2</v>
      </c>
      <c r="I49" s="14">
        <v>8.6401009999999996</v>
      </c>
      <c r="J49" s="14">
        <v>57.157069999999997</v>
      </c>
      <c r="K49" s="14">
        <v>188</v>
      </c>
      <c r="L49" s="14">
        <v>4.1015999999999997E-2</v>
      </c>
      <c r="M49" s="14">
        <v>1141.1300000000001</v>
      </c>
      <c r="N49" s="14">
        <v>101.70702362060547</v>
      </c>
      <c r="O49" s="14">
        <v>85.467201232910156</v>
      </c>
      <c r="P49" s="23">
        <v>5842.1135962307453</v>
      </c>
      <c r="Q49" s="14">
        <v>347.27952671051025</v>
      </c>
      <c r="R49" s="14">
        <v>1.1900123340114941</v>
      </c>
      <c r="S49" s="14">
        <v>0.54207916331347827</v>
      </c>
      <c r="T49" s="14">
        <v>0.86653072088528404</v>
      </c>
      <c r="U49" s="14">
        <v>54.094295501708984</v>
      </c>
      <c r="V49" s="14">
        <v>6741.9578503370285</v>
      </c>
      <c r="W49" s="14">
        <v>86.246217630432582</v>
      </c>
      <c r="X49" s="14">
        <v>0.60872550608302245</v>
      </c>
      <c r="Y49" s="14">
        <v>1205.3555707552084</v>
      </c>
      <c r="Z49" s="14">
        <v>4028.2429900522952</v>
      </c>
      <c r="AA49" s="14" t="s">
        <v>85</v>
      </c>
      <c r="AB49" s="4" t="s">
        <v>312</v>
      </c>
      <c r="AC49" s="4" t="s">
        <v>313</v>
      </c>
      <c r="AD49" s="8" t="b">
        <v>1</v>
      </c>
      <c r="AE49" s="4" t="s">
        <v>394</v>
      </c>
    </row>
    <row r="50" spans="1:31">
      <c r="A50" s="4" t="s">
        <v>395</v>
      </c>
      <c r="B50" s="4" t="s">
        <v>272</v>
      </c>
      <c r="C50" s="4" t="s">
        <v>272</v>
      </c>
      <c r="D50" s="4" t="s">
        <v>266</v>
      </c>
      <c r="E50" s="4" t="s">
        <v>88</v>
      </c>
      <c r="F50" s="4">
        <v>100</v>
      </c>
      <c r="G50" s="4">
        <v>3</v>
      </c>
      <c r="H50" s="4">
        <v>3</v>
      </c>
      <c r="I50" s="14">
        <v>8.6059169999999998</v>
      </c>
      <c r="J50" s="14">
        <v>69.670356999999996</v>
      </c>
      <c r="K50" s="14">
        <v>177</v>
      </c>
      <c r="L50" s="14">
        <v>2.5703E-2</v>
      </c>
      <c r="M50" s="14">
        <v>1251.6600000000001</v>
      </c>
      <c r="N50" s="14">
        <v>126.51261138916016</v>
      </c>
      <c r="O50" s="14">
        <v>88.258491516113281</v>
      </c>
      <c r="P50" s="23">
        <v>8645.4657897502184</v>
      </c>
      <c r="Q50" s="14">
        <v>347.18619441986084</v>
      </c>
      <c r="R50" s="14">
        <v>1.4334327407585801</v>
      </c>
      <c r="S50" s="14">
        <v>0.71646208181691529</v>
      </c>
      <c r="T50" s="14">
        <v>0.99742421565597905</v>
      </c>
      <c r="U50" s="14">
        <v>67.374351501464844</v>
      </c>
      <c r="V50" s="14">
        <v>8667.7921530753374</v>
      </c>
      <c r="W50" s="14">
        <v>104.91781986948162</v>
      </c>
      <c r="X50" s="14">
        <v>0.90130829016423841</v>
      </c>
      <c r="Y50" s="14">
        <v>2300.7060455069163</v>
      </c>
      <c r="Z50" s="14">
        <v>1320.6966253941548</v>
      </c>
      <c r="AA50" s="14" t="s">
        <v>85</v>
      </c>
      <c r="AB50" s="4" t="s">
        <v>312</v>
      </c>
      <c r="AC50" s="4" t="s">
        <v>313</v>
      </c>
      <c r="AD50" s="8" t="b">
        <v>1</v>
      </c>
      <c r="AE50" s="4" t="s">
        <v>396</v>
      </c>
    </row>
    <row r="51" spans="1:31">
      <c r="A51" s="4" t="s">
        <v>397</v>
      </c>
      <c r="B51" s="4" t="s">
        <v>194</v>
      </c>
      <c r="C51" s="4" t="s">
        <v>194</v>
      </c>
      <c r="D51" s="4" t="s">
        <v>193</v>
      </c>
      <c r="E51" s="4" t="s">
        <v>79</v>
      </c>
      <c r="F51" s="4">
        <v>0</v>
      </c>
      <c r="G51" s="4">
        <v>2</v>
      </c>
      <c r="H51" s="4">
        <v>1</v>
      </c>
      <c r="I51" s="14">
        <v>8.1131639999999994</v>
      </c>
      <c r="J51" s="14">
        <v>43.755355999999999</v>
      </c>
      <c r="K51" s="14">
        <v>181</v>
      </c>
      <c r="L51" s="14">
        <v>7.1015999999999996E-2</v>
      </c>
      <c r="M51" s="14">
        <v>366.69</v>
      </c>
      <c r="N51" s="14">
        <v>125.83845520019531</v>
      </c>
      <c r="O51" s="14">
        <v>73.65594482421875</v>
      </c>
      <c r="P51" s="23">
        <v>7581.75860491395</v>
      </c>
      <c r="Q51" s="14">
        <v>336.45247936248779</v>
      </c>
      <c r="R51" s="14">
        <v>1.7084629828659597</v>
      </c>
      <c r="S51" s="14">
        <v>0.81080134496787415</v>
      </c>
      <c r="T51" s="14">
        <v>0.99293179538190512</v>
      </c>
      <c r="U51" s="14">
        <v>117.73576354980469</v>
      </c>
      <c r="V51" s="14">
        <v>7635.7295034527779</v>
      </c>
      <c r="W51" s="14">
        <v>98.251691458277406</v>
      </c>
      <c r="X51" s="14">
        <v>0.84165159505733611</v>
      </c>
      <c r="Y51" s="14">
        <v>2970.8844728916533</v>
      </c>
      <c r="Z51" s="14">
        <v>3556.1110769097886</v>
      </c>
      <c r="AA51" s="14" t="s">
        <v>85</v>
      </c>
      <c r="AB51" s="4" t="s">
        <v>312</v>
      </c>
      <c r="AC51" s="4" t="s">
        <v>313</v>
      </c>
      <c r="AD51" s="8" t="b">
        <v>1</v>
      </c>
      <c r="AE51" s="4" t="s">
        <v>398</v>
      </c>
    </row>
    <row r="52" spans="1:31">
      <c r="A52" s="4" t="s">
        <v>399</v>
      </c>
      <c r="B52" s="4" t="s">
        <v>194</v>
      </c>
      <c r="C52" s="4" t="s">
        <v>194</v>
      </c>
      <c r="D52" s="4" t="s">
        <v>193</v>
      </c>
      <c r="E52" s="4" t="s">
        <v>79</v>
      </c>
      <c r="F52" s="4">
        <v>0</v>
      </c>
      <c r="G52" s="4">
        <v>13</v>
      </c>
      <c r="H52" s="4">
        <v>2</v>
      </c>
      <c r="I52" s="14">
        <v>4.6586220000000003</v>
      </c>
      <c r="J52" s="14">
        <v>23.135898999999998</v>
      </c>
      <c r="K52" s="14">
        <v>78</v>
      </c>
      <c r="L52" s="14">
        <v>0.158359</v>
      </c>
      <c r="M52" s="14">
        <v>1626.77</v>
      </c>
      <c r="N52" s="14">
        <v>152.30137634277344</v>
      </c>
      <c r="O52" s="14">
        <v>101.80703735351562</v>
      </c>
      <c r="P52" s="23">
        <v>11566.284959644079</v>
      </c>
      <c r="Q52" s="14">
        <v>406.78914260864258</v>
      </c>
      <c r="R52" s="14">
        <v>1.4959808310099512</v>
      </c>
      <c r="S52" s="14">
        <v>0.74375010513975226</v>
      </c>
      <c r="T52" s="14">
        <v>1</v>
      </c>
      <c r="U52" s="14">
        <v>163.42630767822266</v>
      </c>
      <c r="V52" s="14">
        <v>11566.284959644079</v>
      </c>
      <c r="W52" s="14">
        <v>121.35341526423716</v>
      </c>
      <c r="X52" s="14">
        <v>0.87834482343840414</v>
      </c>
      <c r="Y52" s="14">
        <v>2941.4909265788979</v>
      </c>
      <c r="Z52" s="14">
        <v>1692.4080929478125</v>
      </c>
      <c r="AA52" s="14" t="s">
        <v>85</v>
      </c>
      <c r="AB52" s="4" t="s">
        <v>312</v>
      </c>
      <c r="AC52" s="4" t="s">
        <v>313</v>
      </c>
      <c r="AD52" s="8" t="b">
        <v>1</v>
      </c>
      <c r="AE52" s="4" t="s">
        <v>400</v>
      </c>
    </row>
    <row r="53" spans="1:31">
      <c r="A53" s="4" t="s">
        <v>401</v>
      </c>
      <c r="B53" s="4" t="s">
        <v>170</v>
      </c>
      <c r="C53" s="4" t="s">
        <v>170</v>
      </c>
      <c r="D53" s="4" t="s">
        <v>168</v>
      </c>
      <c r="E53" s="4" t="s">
        <v>79</v>
      </c>
      <c r="F53" s="4">
        <v>0</v>
      </c>
      <c r="G53" s="4">
        <v>2</v>
      </c>
      <c r="H53" s="4">
        <v>1</v>
      </c>
      <c r="I53" s="14">
        <v>8.9446639999999995</v>
      </c>
      <c r="J53" s="14">
        <v>117.97135900000001</v>
      </c>
      <c r="K53" s="14">
        <v>168</v>
      </c>
      <c r="L53" s="14">
        <v>1.1405999999999999E-2</v>
      </c>
      <c r="M53" s="14">
        <v>974.7</v>
      </c>
      <c r="N53" s="14">
        <v>135.96403503417969</v>
      </c>
      <c r="O53" s="14">
        <v>113.39048004150391</v>
      </c>
      <c r="P53" s="23">
        <v>12498.676605850458</v>
      </c>
      <c r="Q53" s="14">
        <v>413.16279983520508</v>
      </c>
      <c r="R53" s="14">
        <v>1.1990780441569104</v>
      </c>
      <c r="S53" s="14">
        <v>0.55180362994764975</v>
      </c>
      <c r="T53" s="14">
        <v>0.98470515664918756</v>
      </c>
      <c r="U53" s="14">
        <v>16.108982086181641</v>
      </c>
      <c r="V53" s="14">
        <v>12692.811164289713</v>
      </c>
      <c r="W53" s="14">
        <v>126.14994772660457</v>
      </c>
      <c r="X53" s="14">
        <v>0.92009245963885999</v>
      </c>
      <c r="Y53" s="14">
        <v>1950.5048128441776</v>
      </c>
      <c r="Z53" s="14">
        <v>2946.9863529866984</v>
      </c>
      <c r="AA53" s="14" t="s">
        <v>85</v>
      </c>
      <c r="AB53" s="4" t="s">
        <v>312</v>
      </c>
      <c r="AC53" s="4" t="s">
        <v>313</v>
      </c>
      <c r="AD53" s="8" t="b">
        <v>1</v>
      </c>
      <c r="AE53" s="4" t="s">
        <v>402</v>
      </c>
    </row>
    <row r="54" spans="1:31">
      <c r="A54" s="4" t="s">
        <v>403</v>
      </c>
      <c r="B54" s="4" t="s">
        <v>170</v>
      </c>
      <c r="C54" s="4" t="s">
        <v>170</v>
      </c>
      <c r="D54" s="4" t="s">
        <v>168</v>
      </c>
      <c r="E54" s="4" t="s">
        <v>79</v>
      </c>
      <c r="F54" s="4">
        <v>0</v>
      </c>
      <c r="G54" s="4">
        <v>9</v>
      </c>
      <c r="H54" s="4">
        <v>2</v>
      </c>
      <c r="I54" s="14">
        <v>7.9571730000000001</v>
      </c>
      <c r="J54" s="14">
        <v>92.171149999999997</v>
      </c>
      <c r="K54" s="14">
        <v>139</v>
      </c>
      <c r="L54" s="14">
        <v>1.7422E-2</v>
      </c>
      <c r="M54" s="14">
        <v>547.97</v>
      </c>
      <c r="N54" s="14">
        <v>116.50767517089844</v>
      </c>
      <c r="O54" s="14">
        <v>83.958564758300781</v>
      </c>
      <c r="P54" s="23">
        <v>7961.7258195579052</v>
      </c>
      <c r="Q54" s="14">
        <v>329.82537937164307</v>
      </c>
      <c r="R54" s="14">
        <v>1.3876806434971793</v>
      </c>
      <c r="S54" s="14">
        <v>0.69332306417850109</v>
      </c>
      <c r="T54" s="14">
        <v>1</v>
      </c>
      <c r="U54" s="14">
        <v>9.6940555572509766</v>
      </c>
      <c r="V54" s="14">
        <v>7961.7258195579052</v>
      </c>
      <c r="W54" s="14">
        <v>100.68358435117463</v>
      </c>
      <c r="X54" s="14">
        <v>0.9197058317468576</v>
      </c>
      <c r="Y54" s="14">
        <v>5350.5285825934197</v>
      </c>
      <c r="Z54" s="14">
        <v>1714.4931503393202</v>
      </c>
      <c r="AA54" s="14" t="s">
        <v>85</v>
      </c>
      <c r="AB54" s="4" t="s">
        <v>312</v>
      </c>
      <c r="AC54" s="4" t="s">
        <v>313</v>
      </c>
      <c r="AD54" s="8" t="b">
        <v>1</v>
      </c>
      <c r="AE54" s="4" t="s">
        <v>404</v>
      </c>
    </row>
    <row r="55" spans="1:31">
      <c r="A55" s="4" t="s">
        <v>405</v>
      </c>
      <c r="B55" s="4" t="s">
        <v>218</v>
      </c>
      <c r="C55" s="4" t="s">
        <v>218</v>
      </c>
      <c r="D55" s="4" t="s">
        <v>217</v>
      </c>
      <c r="E55" s="4" t="s">
        <v>79</v>
      </c>
      <c r="F55" s="4">
        <v>0</v>
      </c>
      <c r="G55" s="4">
        <v>1</v>
      </c>
      <c r="H55" s="4">
        <v>1</v>
      </c>
      <c r="I55" s="14">
        <v>9.387829</v>
      </c>
      <c r="J55" s="14">
        <v>158.43832399999999</v>
      </c>
      <c r="K55" s="14">
        <v>175</v>
      </c>
      <c r="L55" s="14">
        <v>1.9609000000000001E-2</v>
      </c>
      <c r="M55" s="14">
        <v>949.9</v>
      </c>
      <c r="N55" s="14">
        <v>140.50314331054688</v>
      </c>
      <c r="O55" s="14">
        <v>117.95478057861328</v>
      </c>
      <c r="P55" s="23">
        <v>13168.755061112344</v>
      </c>
      <c r="Q55" s="14">
        <v>419.85690116882324</v>
      </c>
      <c r="R55" s="14">
        <v>1.1911610756369964</v>
      </c>
      <c r="S55" s="14">
        <v>0.54333338594239966</v>
      </c>
      <c r="T55" s="14">
        <v>1</v>
      </c>
      <c r="U55" s="14">
        <v>8.1272573471069336</v>
      </c>
      <c r="V55" s="14">
        <v>13168.755061112344</v>
      </c>
      <c r="W55" s="14">
        <v>129.48737273857847</v>
      </c>
      <c r="X55" s="14">
        <v>0.93875441336931864</v>
      </c>
      <c r="Y55" s="14">
        <v>4067.9287162508685</v>
      </c>
      <c r="Z55" s="14">
        <v>1061.9410380349912</v>
      </c>
      <c r="AA55" s="14" t="s">
        <v>85</v>
      </c>
      <c r="AB55" s="4" t="s">
        <v>312</v>
      </c>
      <c r="AC55" s="4" t="s">
        <v>313</v>
      </c>
      <c r="AD55" s="8" t="b">
        <v>1</v>
      </c>
      <c r="AE55" s="4" t="s">
        <v>406</v>
      </c>
    </row>
    <row r="56" spans="1:31">
      <c r="A56" s="4" t="s">
        <v>407</v>
      </c>
      <c r="B56" s="4" t="s">
        <v>218</v>
      </c>
      <c r="C56" s="4" t="s">
        <v>218</v>
      </c>
      <c r="D56" s="4" t="s">
        <v>217</v>
      </c>
      <c r="E56" s="4" t="s">
        <v>79</v>
      </c>
      <c r="F56" s="4">
        <v>0</v>
      </c>
      <c r="G56" s="4">
        <v>2</v>
      </c>
      <c r="H56" s="4">
        <v>2</v>
      </c>
      <c r="I56" s="14">
        <v>9.1290279999999999</v>
      </c>
      <c r="J56" s="14">
        <v>130.031082</v>
      </c>
      <c r="K56" s="14">
        <v>175</v>
      </c>
      <c r="L56" s="14">
        <v>4.0468999999999998E-2</v>
      </c>
      <c r="M56" s="14">
        <v>1715.67</v>
      </c>
      <c r="N56" s="14">
        <v>136.46817016601562</v>
      </c>
      <c r="O56" s="14">
        <v>109.44783782958984</v>
      </c>
      <c r="P56" s="23">
        <v>11791.791319064796</v>
      </c>
      <c r="Q56" s="14">
        <v>396.43586730957031</v>
      </c>
      <c r="R56" s="14">
        <v>1.2468786306998263</v>
      </c>
      <c r="S56" s="14">
        <v>0.59732043805537216</v>
      </c>
      <c r="T56" s="14">
        <v>1</v>
      </c>
      <c r="U56" s="14">
        <v>16.891223907470703</v>
      </c>
      <c r="V56" s="14">
        <v>11791.791319064796</v>
      </c>
      <c r="W56" s="14">
        <v>122.53071047985523</v>
      </c>
      <c r="X56" s="14">
        <v>0.94285252520849572</v>
      </c>
      <c r="Y56" s="14">
        <v>1803.5805686286217</v>
      </c>
      <c r="Z56" s="14">
        <v>1789.5246575884489</v>
      </c>
      <c r="AA56" s="14" t="s">
        <v>85</v>
      </c>
      <c r="AB56" s="4" t="s">
        <v>312</v>
      </c>
      <c r="AC56" s="4" t="s">
        <v>313</v>
      </c>
      <c r="AD56" s="8" t="b">
        <v>1</v>
      </c>
      <c r="AE56" s="4" t="s">
        <v>408</v>
      </c>
    </row>
    <row r="57" spans="1:31">
      <c r="A57" s="4" t="s">
        <v>409</v>
      </c>
      <c r="B57" s="4" t="s">
        <v>218</v>
      </c>
      <c r="C57" s="4" t="s">
        <v>218</v>
      </c>
      <c r="D57" s="4" t="s">
        <v>217</v>
      </c>
      <c r="E57" s="4" t="s">
        <v>79</v>
      </c>
      <c r="F57" s="4">
        <v>0</v>
      </c>
      <c r="G57" s="4">
        <v>3</v>
      </c>
      <c r="H57" s="4">
        <v>3</v>
      </c>
      <c r="I57" s="14">
        <v>9.0474879999999995</v>
      </c>
      <c r="J57" s="14">
        <v>129.31420900000001</v>
      </c>
      <c r="K57" s="14">
        <v>169</v>
      </c>
      <c r="L57" s="14">
        <v>1.5820000000000001E-2</v>
      </c>
      <c r="M57" s="14">
        <v>835.39</v>
      </c>
      <c r="N57" s="14">
        <v>145.79167175292969</v>
      </c>
      <c r="O57" s="14">
        <v>113.35536193847656</v>
      </c>
      <c r="P57" s="23">
        <v>13585.378922343254</v>
      </c>
      <c r="Q57" s="14">
        <v>428.90896701812744</v>
      </c>
      <c r="R57" s="14">
        <v>1.2861471152291666</v>
      </c>
      <c r="S57" s="14">
        <v>0.62886311858699417</v>
      </c>
      <c r="T57" s="14">
        <v>0.99769062875777292</v>
      </c>
      <c r="U57" s="14">
        <v>10.778693199157715</v>
      </c>
      <c r="V57" s="14">
        <v>13616.825226932764</v>
      </c>
      <c r="W57" s="14">
        <v>131.51973872441735</v>
      </c>
      <c r="X57" s="14">
        <v>0.92800724835971438</v>
      </c>
      <c r="Y57" s="14">
        <v>943.54877449025389</v>
      </c>
      <c r="Z57" s="14">
        <v>2526.4710223080619</v>
      </c>
      <c r="AA57" s="14" t="s">
        <v>85</v>
      </c>
      <c r="AB57" s="4" t="s">
        <v>312</v>
      </c>
      <c r="AC57" s="4" t="s">
        <v>313</v>
      </c>
      <c r="AD57" s="8" t="b">
        <v>1</v>
      </c>
      <c r="AE57" s="4" t="s">
        <v>410</v>
      </c>
    </row>
    <row r="58" spans="1:31">
      <c r="A58" s="4" t="s">
        <v>411</v>
      </c>
      <c r="B58" s="4" t="s">
        <v>97</v>
      </c>
      <c r="C58" s="4" t="s">
        <v>97</v>
      </c>
      <c r="D58" s="4" t="s">
        <v>96</v>
      </c>
      <c r="E58" s="4" t="s">
        <v>79</v>
      </c>
      <c r="F58" s="4">
        <v>0</v>
      </c>
      <c r="G58" s="4">
        <v>2</v>
      </c>
      <c r="H58" s="4">
        <v>1</v>
      </c>
      <c r="I58" s="14">
        <v>9.1150680000000008</v>
      </c>
      <c r="J58" s="14">
        <v>86.838263999999995</v>
      </c>
      <c r="K58" s="14">
        <v>186</v>
      </c>
      <c r="L58" s="14">
        <v>3.4770000000000001E-3</v>
      </c>
      <c r="M58" s="14">
        <v>157.97999999999999</v>
      </c>
      <c r="N58" s="14">
        <v>119.86417388916016</v>
      </c>
      <c r="O58" s="14">
        <v>118.18350982666016</v>
      </c>
      <c r="P58" s="23">
        <v>11041.37601917237</v>
      </c>
      <c r="Q58" s="14">
        <v>384.0480842590332</v>
      </c>
      <c r="R58" s="14">
        <v>1.0142208000504049</v>
      </c>
      <c r="S58" s="14">
        <v>0.16687183446948636</v>
      </c>
      <c r="T58" s="14">
        <v>0.99882867837304257</v>
      </c>
      <c r="U58" s="14">
        <v>12.368757247924805</v>
      </c>
      <c r="V58" s="14">
        <v>11054.324188165367</v>
      </c>
      <c r="W58" s="14">
        <v>118.56777207951903</v>
      </c>
      <c r="X58" s="14">
        <v>0.94072320745832649</v>
      </c>
      <c r="Y58" s="14">
        <v>4285.7500122421407</v>
      </c>
      <c r="Z58" s="14">
        <v>226.50209358398041</v>
      </c>
      <c r="AA58" s="14" t="s">
        <v>85</v>
      </c>
      <c r="AB58" s="4" t="s">
        <v>312</v>
      </c>
      <c r="AC58" s="4" t="s">
        <v>313</v>
      </c>
      <c r="AD58" s="8" t="b">
        <v>1</v>
      </c>
      <c r="AE58" s="4" t="s">
        <v>412</v>
      </c>
    </row>
    <row r="59" spans="1:31">
      <c r="A59" s="4" t="s">
        <v>413</v>
      </c>
      <c r="B59" s="4" t="s">
        <v>97</v>
      </c>
      <c r="C59" s="4" t="s">
        <v>97</v>
      </c>
      <c r="D59" s="4" t="s">
        <v>96</v>
      </c>
      <c r="E59" s="4" t="s">
        <v>79</v>
      </c>
      <c r="F59" s="4">
        <v>0</v>
      </c>
      <c r="G59" s="4">
        <v>3</v>
      </c>
      <c r="H59" s="4">
        <v>2</v>
      </c>
      <c r="I59" s="14">
        <v>9.0034969999999994</v>
      </c>
      <c r="J59" s="14">
        <v>96.600182000000004</v>
      </c>
      <c r="K59" s="14">
        <v>182</v>
      </c>
      <c r="L59" s="14">
        <v>4.2460999999999999E-2</v>
      </c>
      <c r="M59" s="14">
        <v>577.76</v>
      </c>
      <c r="N59" s="14">
        <v>125.55928039550781</v>
      </c>
      <c r="O59" s="14">
        <v>109.13938903808594</v>
      </c>
      <c r="P59" s="23">
        <v>11024.01488789171</v>
      </c>
      <c r="Q59" s="14">
        <v>382.9242639541626</v>
      </c>
      <c r="R59" s="14">
        <v>1.1504488113974314</v>
      </c>
      <c r="S59" s="14">
        <v>0.49441499667132244</v>
      </c>
      <c r="T59" s="14">
        <v>1</v>
      </c>
      <c r="U59" s="14">
        <v>127.72660827636719</v>
      </c>
      <c r="V59" s="14">
        <v>11024.01488789171</v>
      </c>
      <c r="W59" s="14">
        <v>118.47451918878126</v>
      </c>
      <c r="X59" s="14">
        <v>0.94476518859308811</v>
      </c>
      <c r="Y59" s="14">
        <v>1045.9313308155145</v>
      </c>
      <c r="Z59" s="14">
        <v>3325.6119000368794</v>
      </c>
      <c r="AA59" s="14" t="s">
        <v>85</v>
      </c>
      <c r="AB59" s="4" t="s">
        <v>312</v>
      </c>
      <c r="AC59" s="4" t="s">
        <v>313</v>
      </c>
      <c r="AD59" s="8" t="b">
        <v>1</v>
      </c>
      <c r="AE59" s="4" t="s">
        <v>414</v>
      </c>
    </row>
    <row r="60" spans="1:31">
      <c r="A60" s="4" t="s">
        <v>415</v>
      </c>
      <c r="B60" s="4" t="s">
        <v>97</v>
      </c>
      <c r="C60" s="4" t="s">
        <v>97</v>
      </c>
      <c r="D60" s="4" t="s">
        <v>96</v>
      </c>
      <c r="E60" s="4" t="s">
        <v>79</v>
      </c>
      <c r="F60" s="4">
        <v>0</v>
      </c>
      <c r="G60" s="4">
        <v>24</v>
      </c>
      <c r="H60" s="4">
        <v>3</v>
      </c>
      <c r="I60" s="14">
        <v>7.8495710000000001</v>
      </c>
      <c r="J60" s="14">
        <v>47.090611000000003</v>
      </c>
      <c r="K60" s="14">
        <v>164</v>
      </c>
      <c r="L60" s="14">
        <v>4.1172E-2</v>
      </c>
      <c r="M60" s="14">
        <v>571.70000000000005</v>
      </c>
      <c r="N60" s="14">
        <v>100.58279418945312</v>
      </c>
      <c r="O60" s="14">
        <v>78.739044189453125</v>
      </c>
      <c r="P60" s="23">
        <v>6137.2540806531906</v>
      </c>
      <c r="Q60" s="14">
        <v>291.71544361114502</v>
      </c>
      <c r="R60" s="14">
        <v>1.2774195473778167</v>
      </c>
      <c r="S60" s="14">
        <v>0.62223794832746848</v>
      </c>
      <c r="T60" s="14">
        <v>0.99024201156277447</v>
      </c>
      <c r="U60" s="14">
        <v>152.62428283691406</v>
      </c>
      <c r="V60" s="14">
        <v>6197.7314727008343</v>
      </c>
      <c r="W60" s="14">
        <v>88.397933186103899</v>
      </c>
      <c r="X60" s="14">
        <v>0.90628569323795871</v>
      </c>
      <c r="Y60" s="14">
        <v>2542.0968750681768</v>
      </c>
      <c r="Z60" s="14">
        <v>3368.3295470006292</v>
      </c>
      <c r="AA60" s="14" t="s">
        <v>85</v>
      </c>
      <c r="AB60" s="4" t="s">
        <v>312</v>
      </c>
      <c r="AC60" s="4" t="s">
        <v>313</v>
      </c>
      <c r="AD60" s="8" t="b">
        <v>1</v>
      </c>
      <c r="AE60" s="4" t="s">
        <v>416</v>
      </c>
    </row>
    <row r="61" spans="1:31">
      <c r="A61" s="4" t="s">
        <v>417</v>
      </c>
      <c r="B61" s="4" t="s">
        <v>133</v>
      </c>
      <c r="C61" s="4" t="s">
        <v>133</v>
      </c>
      <c r="D61" s="4" t="s">
        <v>132</v>
      </c>
      <c r="E61" s="4" t="s">
        <v>79</v>
      </c>
      <c r="F61" s="4">
        <v>0</v>
      </c>
      <c r="G61" s="4">
        <v>2</v>
      </c>
      <c r="H61" s="4">
        <v>1</v>
      </c>
      <c r="I61" s="14">
        <v>8.2827549999999999</v>
      </c>
      <c r="J61" s="14">
        <v>61.679122999999997</v>
      </c>
      <c r="K61" s="14">
        <v>172</v>
      </c>
      <c r="L61" s="14">
        <v>5.1757999999999998E-2</v>
      </c>
      <c r="M61" s="14">
        <v>1166.76</v>
      </c>
      <c r="N61" s="14">
        <v>107.42771148681641</v>
      </c>
      <c r="O61" s="14">
        <v>76.447792053222656</v>
      </c>
      <c r="P61" s="23">
        <v>6692.0461160391569</v>
      </c>
      <c r="Q61" s="14">
        <v>308.81880664825439</v>
      </c>
      <c r="R61" s="14">
        <v>1.4052428278376654</v>
      </c>
      <c r="S61" s="14">
        <v>0.70256377836608186</v>
      </c>
      <c r="T61" s="14">
        <v>0.99908201006141095</v>
      </c>
      <c r="U61" s="14">
        <v>41.920379638671875</v>
      </c>
      <c r="V61" s="14">
        <v>6698.1949916481972</v>
      </c>
      <c r="W61" s="14">
        <v>92.306975630947903</v>
      </c>
      <c r="X61" s="14">
        <v>0.88178216050302549</v>
      </c>
      <c r="Y61" s="14">
        <v>1241.3511752685831</v>
      </c>
      <c r="Z61" s="14">
        <v>3209.3539135307601</v>
      </c>
      <c r="AA61" s="14" t="s">
        <v>85</v>
      </c>
      <c r="AB61" s="4" t="s">
        <v>312</v>
      </c>
      <c r="AC61" s="4" t="s">
        <v>313</v>
      </c>
      <c r="AD61" s="8" t="b">
        <v>1</v>
      </c>
      <c r="AE61" s="4" t="s">
        <v>418</v>
      </c>
    </row>
    <row r="62" spans="1:31">
      <c r="A62" s="4" t="s">
        <v>419</v>
      </c>
      <c r="B62" s="4" t="s">
        <v>133</v>
      </c>
      <c r="C62" s="4" t="s">
        <v>133</v>
      </c>
      <c r="D62" s="4" t="s">
        <v>132</v>
      </c>
      <c r="E62" s="4" t="s">
        <v>79</v>
      </c>
      <c r="F62" s="4">
        <v>0</v>
      </c>
      <c r="G62" s="4">
        <v>3</v>
      </c>
      <c r="H62" s="4">
        <v>2</v>
      </c>
      <c r="I62" s="14">
        <v>8.2719450000000005</v>
      </c>
      <c r="J62" s="14">
        <v>51.268726000000001</v>
      </c>
      <c r="K62" s="14">
        <v>177</v>
      </c>
      <c r="L62" s="14">
        <v>3.6484000000000003E-2</v>
      </c>
      <c r="M62" s="14">
        <v>1291.5999999999999</v>
      </c>
      <c r="N62" s="14">
        <v>136.79417419433594</v>
      </c>
      <c r="O62" s="14">
        <v>110.14641571044922</v>
      </c>
      <c r="P62" s="23">
        <v>11766.980172753334</v>
      </c>
      <c r="Q62" s="14">
        <v>402.93964004516602</v>
      </c>
      <c r="R62" s="14">
        <v>1.2419303280275396</v>
      </c>
      <c r="S62" s="14">
        <v>0.59300585372471526</v>
      </c>
      <c r="T62" s="14">
        <v>0.98013134304462068</v>
      </c>
      <c r="U62" s="14">
        <v>9.5525655746459961</v>
      </c>
      <c r="V62" s="14">
        <v>12005.513604126871</v>
      </c>
      <c r="W62" s="14">
        <v>122.40173396673816</v>
      </c>
      <c r="X62" s="14">
        <v>0.9107410193256783</v>
      </c>
      <c r="Y62" s="14">
        <v>2041.9095734616299</v>
      </c>
      <c r="Z62" s="14">
        <v>1346.4798523738716</v>
      </c>
      <c r="AA62" s="14" t="s">
        <v>85</v>
      </c>
      <c r="AB62" s="4" t="s">
        <v>312</v>
      </c>
      <c r="AC62" s="4" t="s">
        <v>313</v>
      </c>
      <c r="AD62" s="8" t="b">
        <v>1</v>
      </c>
      <c r="AE62" s="4" t="s">
        <v>420</v>
      </c>
    </row>
    <row r="63" spans="1:31">
      <c r="A63" s="4" t="s">
        <v>421</v>
      </c>
      <c r="B63" s="4" t="s">
        <v>80</v>
      </c>
      <c r="C63" s="4" t="s">
        <v>80</v>
      </c>
      <c r="D63" s="4" t="s">
        <v>76</v>
      </c>
      <c r="E63" s="4" t="s">
        <v>79</v>
      </c>
      <c r="F63" s="4">
        <v>0</v>
      </c>
      <c r="G63" s="4">
        <v>1</v>
      </c>
      <c r="H63" s="4">
        <v>1</v>
      </c>
      <c r="I63" s="14">
        <v>8.1456400000000002</v>
      </c>
      <c r="J63" s="14">
        <v>66.790413000000001</v>
      </c>
      <c r="K63" s="14">
        <v>166</v>
      </c>
      <c r="L63" s="14">
        <v>7.3594000000000007E-2</v>
      </c>
      <c r="M63" s="14">
        <v>421.67</v>
      </c>
      <c r="N63" s="14">
        <v>86.105613708496094</v>
      </c>
      <c r="O63" s="14">
        <v>79.40478515625</v>
      </c>
      <c r="P63" s="23">
        <v>5361.8235317468643</v>
      </c>
      <c r="Q63" s="14">
        <v>265.93891048431396</v>
      </c>
      <c r="R63" s="14">
        <v>1.0843882209247269</v>
      </c>
      <c r="S63" s="14">
        <v>0.38676345330118922</v>
      </c>
      <c r="T63" s="14">
        <v>0.99975957541980176</v>
      </c>
      <c r="U63" s="14">
        <v>30.124547958374023</v>
      </c>
      <c r="V63" s="14">
        <v>5363.1129559278488</v>
      </c>
      <c r="W63" s="14">
        <v>82.624970514437464</v>
      </c>
      <c r="X63" s="14">
        <v>0.95270536318904808</v>
      </c>
      <c r="Y63" s="14">
        <v>2647.6193242389982</v>
      </c>
      <c r="Z63" s="14">
        <v>5519.8282338161935</v>
      </c>
      <c r="AA63" s="14" t="s">
        <v>85</v>
      </c>
      <c r="AB63" s="4" t="s">
        <v>312</v>
      </c>
      <c r="AC63" s="4" t="s">
        <v>313</v>
      </c>
      <c r="AD63" s="8" t="b">
        <v>1</v>
      </c>
      <c r="AE63" s="4" t="s">
        <v>422</v>
      </c>
    </row>
    <row r="64" spans="1:31">
      <c r="A64" s="4" t="s">
        <v>423</v>
      </c>
      <c r="B64" s="4" t="s">
        <v>80</v>
      </c>
      <c r="C64" s="4" t="s">
        <v>80</v>
      </c>
      <c r="D64" s="4" t="s">
        <v>76</v>
      </c>
      <c r="E64" s="4" t="s">
        <v>79</v>
      </c>
      <c r="F64" s="4">
        <v>0</v>
      </c>
      <c r="G64" s="4">
        <v>2</v>
      </c>
      <c r="H64" s="4">
        <v>2</v>
      </c>
      <c r="I64" s="14">
        <v>7.837453</v>
      </c>
      <c r="J64" s="14">
        <v>77.415627000000001</v>
      </c>
      <c r="K64" s="14">
        <v>141</v>
      </c>
      <c r="L64" s="14">
        <v>1.6522999999999999E-2</v>
      </c>
      <c r="M64" s="14">
        <v>1571.19</v>
      </c>
      <c r="N64" s="14">
        <v>143.03074645996094</v>
      </c>
      <c r="O64" s="14">
        <v>91.298629760742188</v>
      </c>
      <c r="P64" s="23">
        <v>9985.8133589923382</v>
      </c>
      <c r="Q64" s="14">
        <v>376.757399559021</v>
      </c>
      <c r="R64" s="14">
        <v>1.5666253352847495</v>
      </c>
      <c r="S64" s="14">
        <v>0.76977550506839498</v>
      </c>
      <c r="T64" s="14">
        <v>0.99879847781329434</v>
      </c>
      <c r="U64" s="14">
        <v>50.411357879638672</v>
      </c>
      <c r="V64" s="14">
        <v>9997.8259687125683</v>
      </c>
      <c r="W64" s="14">
        <v>112.75784875126747</v>
      </c>
      <c r="X64" s="14">
        <v>0.88403554485324298</v>
      </c>
      <c r="Y64" s="14">
        <v>2360.2657712798518</v>
      </c>
      <c r="Z64" s="14">
        <v>3267.2065145814831</v>
      </c>
      <c r="AA64" s="14" t="s">
        <v>85</v>
      </c>
      <c r="AB64" s="4" t="s">
        <v>312</v>
      </c>
      <c r="AC64" s="4" t="s">
        <v>313</v>
      </c>
      <c r="AD64" s="8" t="b">
        <v>1</v>
      </c>
      <c r="AE64" s="4" t="s">
        <v>424</v>
      </c>
    </row>
    <row r="65" spans="1:31">
      <c r="A65" s="4" t="s">
        <v>425</v>
      </c>
      <c r="B65" s="4" t="s">
        <v>80</v>
      </c>
      <c r="C65" s="4" t="s">
        <v>80</v>
      </c>
      <c r="D65" s="4" t="s">
        <v>76</v>
      </c>
      <c r="E65" s="4" t="s">
        <v>79</v>
      </c>
      <c r="F65" s="4">
        <v>0</v>
      </c>
      <c r="G65" s="4">
        <v>19</v>
      </c>
      <c r="H65" s="4">
        <v>3</v>
      </c>
      <c r="I65" s="14">
        <v>6.6914129999999998</v>
      </c>
      <c r="J65" s="14">
        <v>55.846691</v>
      </c>
      <c r="K65" s="14">
        <v>121</v>
      </c>
      <c r="L65" s="14">
        <v>0.12464799999999999</v>
      </c>
      <c r="M65" s="14">
        <v>524.38</v>
      </c>
      <c r="N65" s="14">
        <v>120.72648620605469</v>
      </c>
      <c r="O65" s="14">
        <v>67.277519226074219</v>
      </c>
      <c r="P65" s="23">
        <v>6492.4524928256869</v>
      </c>
      <c r="Q65" s="14">
        <v>313.99503421783447</v>
      </c>
      <c r="R65" s="14">
        <v>1.7944550809071105</v>
      </c>
      <c r="S65" s="14">
        <v>0.830329845355678</v>
      </c>
      <c r="T65" s="14">
        <v>0.98871291258854677</v>
      </c>
      <c r="U65" s="14">
        <v>40.386913299560547</v>
      </c>
      <c r="V65" s="14">
        <v>6566.5699417516589</v>
      </c>
      <c r="W65" s="14">
        <v>90.920004708425139</v>
      </c>
      <c r="X65" s="14">
        <v>0.82750968395046032</v>
      </c>
      <c r="Y65" s="14">
        <v>602.1718412725595</v>
      </c>
      <c r="Z65" s="14">
        <v>2240.8430205214195</v>
      </c>
      <c r="AA65" s="14" t="s">
        <v>85</v>
      </c>
      <c r="AB65" s="4" t="s">
        <v>312</v>
      </c>
      <c r="AC65" s="4" t="s">
        <v>313</v>
      </c>
      <c r="AD65" s="8" t="b">
        <v>1</v>
      </c>
      <c r="AE65" s="4" t="s">
        <v>426</v>
      </c>
    </row>
    <row r="66" spans="1:31">
      <c r="A66" s="4" t="s">
        <v>427</v>
      </c>
      <c r="B66" s="4" t="s">
        <v>145</v>
      </c>
      <c r="C66" s="4" t="s">
        <v>145</v>
      </c>
      <c r="D66" s="4" t="s">
        <v>144</v>
      </c>
      <c r="E66" s="4" t="s">
        <v>79</v>
      </c>
      <c r="F66" s="4">
        <v>0</v>
      </c>
      <c r="G66" s="4">
        <v>1</v>
      </c>
      <c r="H66" s="4">
        <v>1</v>
      </c>
      <c r="I66" s="14">
        <v>8.8268559999999994</v>
      </c>
      <c r="J66" s="14">
        <v>51.814106000000002</v>
      </c>
      <c r="K66" s="14">
        <v>206</v>
      </c>
      <c r="L66" s="14">
        <v>9.6641000000000005E-2</v>
      </c>
      <c r="M66" s="14">
        <v>435.08</v>
      </c>
      <c r="N66" s="14">
        <v>114.37992095947266</v>
      </c>
      <c r="O66" s="14">
        <v>90.549156188964844</v>
      </c>
      <c r="P66" s="23">
        <v>8275.0477989986539</v>
      </c>
      <c r="Q66" s="14">
        <v>333.40902423858643</v>
      </c>
      <c r="R66" s="14">
        <v>1.2631804179464241</v>
      </c>
      <c r="S66" s="14">
        <v>0.61097155318122875</v>
      </c>
      <c r="T66" s="14">
        <v>0.9970214614996511</v>
      </c>
      <c r="U66" s="14">
        <v>12.597758293151855</v>
      </c>
      <c r="V66" s="14">
        <v>8299.7689804509282</v>
      </c>
      <c r="W66" s="14">
        <v>102.64559460716644</v>
      </c>
      <c r="X66" s="14">
        <v>0.93546097388187988</v>
      </c>
      <c r="Y66" s="14">
        <v>518.34037194297537</v>
      </c>
      <c r="Z66" s="14">
        <v>2472.7857966326255</v>
      </c>
      <c r="AA66" s="14" t="s">
        <v>85</v>
      </c>
      <c r="AB66" s="4" t="s">
        <v>312</v>
      </c>
      <c r="AC66" s="4" t="s">
        <v>313</v>
      </c>
      <c r="AD66" s="8" t="b">
        <v>1</v>
      </c>
      <c r="AE66" s="4" t="s">
        <v>428</v>
      </c>
    </row>
    <row r="67" spans="1:31">
      <c r="A67" s="4" t="s">
        <v>429</v>
      </c>
      <c r="B67" s="4" t="s">
        <v>145</v>
      </c>
      <c r="C67" s="4" t="s">
        <v>145</v>
      </c>
      <c r="D67" s="4" t="s">
        <v>144</v>
      </c>
      <c r="E67" s="4" t="s">
        <v>79</v>
      </c>
      <c r="F67" s="4">
        <v>0</v>
      </c>
      <c r="G67" s="4">
        <v>2</v>
      </c>
      <c r="H67" s="4">
        <v>2</v>
      </c>
      <c r="I67" s="14">
        <v>8.5619029999999992</v>
      </c>
      <c r="J67" s="14">
        <v>48.738818999999999</v>
      </c>
      <c r="K67" s="14">
        <v>194</v>
      </c>
      <c r="L67" s="14">
        <v>6.4961000000000005E-2</v>
      </c>
      <c r="M67" s="14">
        <v>232.29</v>
      </c>
      <c r="N67" s="14">
        <v>114.94992065429688</v>
      </c>
      <c r="O67" s="14">
        <v>80.542167663574219</v>
      </c>
      <c r="P67" s="23">
        <v>7147.259346563369</v>
      </c>
      <c r="Q67" s="14">
        <v>341.6786527633667</v>
      </c>
      <c r="R67" s="14">
        <v>1.4272017253675655</v>
      </c>
      <c r="S67" s="14">
        <v>0.71348372828478801</v>
      </c>
      <c r="T67" s="14">
        <v>0.97199729036790428</v>
      </c>
      <c r="U67" s="14">
        <v>111.29648208618164</v>
      </c>
      <c r="V67" s="14">
        <v>7353.1679742215201</v>
      </c>
      <c r="W67" s="14">
        <v>95.394828143471599</v>
      </c>
      <c r="X67" s="14">
        <v>0.76933185154482175</v>
      </c>
      <c r="Y67" s="14">
        <v>296.27748158815194</v>
      </c>
      <c r="Z67" s="14">
        <v>1533.5074703767502</v>
      </c>
      <c r="AA67" s="14" t="s">
        <v>85</v>
      </c>
      <c r="AB67" s="4" t="s">
        <v>312</v>
      </c>
      <c r="AC67" s="4" t="s">
        <v>313</v>
      </c>
      <c r="AD67" s="8" t="b">
        <v>1</v>
      </c>
      <c r="AE67" s="4" t="s">
        <v>430</v>
      </c>
    </row>
    <row r="68" spans="1:31">
      <c r="A68" s="4" t="s">
        <v>431</v>
      </c>
      <c r="B68" s="4" t="s">
        <v>145</v>
      </c>
      <c r="C68" s="4" t="s">
        <v>145</v>
      </c>
      <c r="D68" s="4" t="s">
        <v>144</v>
      </c>
      <c r="E68" s="4" t="s">
        <v>79</v>
      </c>
      <c r="F68" s="4">
        <v>0</v>
      </c>
      <c r="G68" s="4">
        <v>3</v>
      </c>
      <c r="H68" s="4">
        <v>3</v>
      </c>
      <c r="I68" s="14">
        <v>8.3689940000000007</v>
      </c>
      <c r="J68" s="14">
        <v>81.382812000000001</v>
      </c>
      <c r="K68" s="14">
        <v>167</v>
      </c>
      <c r="L68" s="14">
        <v>7.2460999999999998E-2</v>
      </c>
      <c r="M68" s="14">
        <v>462.86</v>
      </c>
      <c r="N68" s="14">
        <v>106.95517730712891</v>
      </c>
      <c r="O68" s="14">
        <v>53.899082183837891</v>
      </c>
      <c r="P68" s="23">
        <v>4545.2504018545151</v>
      </c>
      <c r="Q68" s="14">
        <v>265.59761810302734</v>
      </c>
      <c r="R68" s="14">
        <v>1.9843598995309117</v>
      </c>
      <c r="S68" s="14">
        <v>0.86373817042757794</v>
      </c>
      <c r="T68" s="14">
        <v>0.98405031069336291</v>
      </c>
      <c r="U68" s="14">
        <v>85.968681335449219</v>
      </c>
      <c r="V68" s="14">
        <v>4618.9207527935505</v>
      </c>
      <c r="W68" s="14">
        <v>76.073599575441136</v>
      </c>
      <c r="X68" s="14">
        <v>0.80969102623997513</v>
      </c>
      <c r="Y68" s="14">
        <v>3477.6532460353674</v>
      </c>
      <c r="Z68" s="14">
        <v>2979.2421297835858</v>
      </c>
      <c r="AA68" s="14" t="s">
        <v>85</v>
      </c>
      <c r="AB68" s="4" t="s">
        <v>312</v>
      </c>
      <c r="AC68" s="4" t="s">
        <v>313</v>
      </c>
      <c r="AD68" s="8" t="b">
        <v>1</v>
      </c>
      <c r="AE68" s="4" t="s">
        <v>432</v>
      </c>
    </row>
    <row r="69" spans="1:31">
      <c r="A69" s="4" t="s">
        <v>433</v>
      </c>
      <c r="B69" s="4" t="s">
        <v>255</v>
      </c>
      <c r="C69" s="4" t="s">
        <v>255</v>
      </c>
      <c r="D69" s="4" t="s">
        <v>254</v>
      </c>
      <c r="E69" s="4" t="s">
        <v>79</v>
      </c>
      <c r="F69" s="4">
        <v>0</v>
      </c>
      <c r="G69" s="4">
        <v>4</v>
      </c>
      <c r="H69" s="4">
        <v>1</v>
      </c>
      <c r="I69" s="14">
        <v>8.377834</v>
      </c>
      <c r="J69" s="14">
        <v>72.546059</v>
      </c>
      <c r="K69" s="14">
        <v>169</v>
      </c>
      <c r="L69" s="14">
        <v>4.8358999999999999E-2</v>
      </c>
      <c r="M69" s="14">
        <v>1774.75</v>
      </c>
      <c r="N69" s="14">
        <v>113.10868835449219</v>
      </c>
      <c r="O69" s="14">
        <v>75.292625427246094</v>
      </c>
      <c r="P69" s="23">
        <v>7004.8932304233313</v>
      </c>
      <c r="Q69" s="14">
        <v>311.96553516387939</v>
      </c>
      <c r="R69" s="14">
        <v>1.5022545397063762</v>
      </c>
      <c r="S69" s="14">
        <v>0.74624967202152515</v>
      </c>
      <c r="T69" s="14">
        <v>0.98906627842960682</v>
      </c>
      <c r="U69" s="14">
        <v>135</v>
      </c>
      <c r="V69" s="14">
        <v>7082.32944868505</v>
      </c>
      <c r="W69" s="14">
        <v>94.439965415191807</v>
      </c>
      <c r="X69" s="14">
        <v>0.90447829486754905</v>
      </c>
      <c r="Y69" s="14">
        <v>1835.6139780308881</v>
      </c>
      <c r="Z69" s="14">
        <v>2416.1546424245639</v>
      </c>
      <c r="AA69" s="14" t="s">
        <v>85</v>
      </c>
      <c r="AB69" s="4" t="s">
        <v>312</v>
      </c>
      <c r="AC69" s="4" t="s">
        <v>313</v>
      </c>
      <c r="AD69" s="8" t="b">
        <v>1</v>
      </c>
      <c r="AE69" s="4" t="s">
        <v>434</v>
      </c>
    </row>
    <row r="70" spans="1:31">
      <c r="A70" s="4" t="s">
        <v>435</v>
      </c>
      <c r="B70" s="4" t="s">
        <v>255</v>
      </c>
      <c r="C70" s="4" t="s">
        <v>255</v>
      </c>
      <c r="D70" s="4" t="s">
        <v>254</v>
      </c>
      <c r="E70" s="4" t="s">
        <v>79</v>
      </c>
      <c r="F70" s="4">
        <v>0</v>
      </c>
      <c r="G70" s="4">
        <v>5</v>
      </c>
      <c r="H70" s="4">
        <v>2</v>
      </c>
      <c r="I70" s="14">
        <v>8.3651920000000004</v>
      </c>
      <c r="J70" s="14">
        <v>95.159889000000007</v>
      </c>
      <c r="K70" s="14">
        <v>152</v>
      </c>
      <c r="L70" s="14">
        <v>2.7300000000000002E-4</v>
      </c>
      <c r="M70" s="14">
        <v>733.95</v>
      </c>
      <c r="N70" s="14">
        <v>112.13069152832031</v>
      </c>
      <c r="O70" s="14">
        <v>77.138496398925781</v>
      </c>
      <c r="P70" s="23">
        <v>6831.1786538362503</v>
      </c>
      <c r="Q70" s="14">
        <v>306.75744915008545</v>
      </c>
      <c r="R70" s="14">
        <v>1.4536281722219546</v>
      </c>
      <c r="S70" s="14">
        <v>0.72577340931776668</v>
      </c>
      <c r="T70" s="14">
        <v>1</v>
      </c>
      <c r="U70" s="14">
        <v>7.4577383995056152</v>
      </c>
      <c r="V70" s="14">
        <v>6831.1786538362503</v>
      </c>
      <c r="W70" s="14">
        <v>93.261604099516916</v>
      </c>
      <c r="X70" s="14">
        <v>0.91225294074382479</v>
      </c>
      <c r="Y70" s="14">
        <v>827.98602190047302</v>
      </c>
      <c r="Z70" s="14">
        <v>3172.9117592574448</v>
      </c>
      <c r="AA70" s="14" t="s">
        <v>85</v>
      </c>
      <c r="AB70" s="4" t="s">
        <v>312</v>
      </c>
      <c r="AC70" s="4" t="s">
        <v>313</v>
      </c>
      <c r="AD70" s="8" t="b">
        <v>1</v>
      </c>
      <c r="AE70" s="4" t="s">
        <v>436</v>
      </c>
    </row>
    <row r="71" spans="1:31">
      <c r="A71" s="4" t="s">
        <v>437</v>
      </c>
      <c r="B71" s="4" t="s">
        <v>182</v>
      </c>
      <c r="C71" s="4" t="s">
        <v>182</v>
      </c>
      <c r="D71" s="4" t="s">
        <v>181</v>
      </c>
      <c r="E71" s="4" t="s">
        <v>79</v>
      </c>
      <c r="F71" s="4">
        <v>0</v>
      </c>
      <c r="G71" s="4">
        <v>2</v>
      </c>
      <c r="H71" s="4">
        <v>1</v>
      </c>
      <c r="I71" s="14">
        <v>7.9759500000000001</v>
      </c>
      <c r="J71" s="14">
        <v>46.059772000000002</v>
      </c>
      <c r="K71" s="14">
        <v>165</v>
      </c>
      <c r="L71" s="14">
        <v>1.56E-4</v>
      </c>
      <c r="M71" s="14">
        <v>1663.72</v>
      </c>
      <c r="N71" s="14">
        <v>131.68147277832031</v>
      </c>
      <c r="O71" s="14">
        <v>97.782005310058594</v>
      </c>
      <c r="P71" s="23">
        <v>10006.774370700121</v>
      </c>
      <c r="Q71" s="14">
        <v>366.28875064849854</v>
      </c>
      <c r="R71" s="14">
        <v>1.3466841098295064</v>
      </c>
      <c r="S71" s="14">
        <v>0.66977440736061</v>
      </c>
      <c r="T71" s="14">
        <v>1</v>
      </c>
      <c r="U71" s="14">
        <v>5.0197062492370605</v>
      </c>
      <c r="V71" s="14">
        <v>10006.774370700121</v>
      </c>
      <c r="W71" s="14">
        <v>112.87613053262287</v>
      </c>
      <c r="X71" s="14">
        <v>0.9372529363328751</v>
      </c>
      <c r="Y71" s="14">
        <v>3188.3774070264535</v>
      </c>
      <c r="Z71" s="14">
        <v>1709.0828636922572</v>
      </c>
      <c r="AA71" s="14" t="s">
        <v>85</v>
      </c>
      <c r="AB71" s="4" t="s">
        <v>312</v>
      </c>
      <c r="AC71" s="4" t="s">
        <v>313</v>
      </c>
      <c r="AD71" s="8" t="b">
        <v>1</v>
      </c>
      <c r="AE71" s="4" t="s">
        <v>438</v>
      </c>
    </row>
    <row r="72" spans="1:31">
      <c r="A72" s="4" t="s">
        <v>439</v>
      </c>
      <c r="B72" s="4" t="s">
        <v>182</v>
      </c>
      <c r="C72" s="4" t="s">
        <v>182</v>
      </c>
      <c r="D72" s="4" t="s">
        <v>181</v>
      </c>
      <c r="E72" s="4" t="s">
        <v>79</v>
      </c>
      <c r="F72" s="4">
        <v>0</v>
      </c>
      <c r="G72" s="4">
        <v>3</v>
      </c>
      <c r="H72" s="4">
        <v>2</v>
      </c>
      <c r="I72" s="14">
        <v>7.8469129999999998</v>
      </c>
      <c r="J72" s="14">
        <v>68.331901999999999</v>
      </c>
      <c r="K72" s="14">
        <v>145</v>
      </c>
      <c r="L72" s="14">
        <v>5.6639999999999998E-3</v>
      </c>
      <c r="M72" s="14">
        <v>1643.57</v>
      </c>
      <c r="N72" s="14">
        <v>181.80230712890625</v>
      </c>
      <c r="O72" s="14">
        <v>117.92083740234375</v>
      </c>
      <c r="P72" s="23">
        <v>16069.169007644057</v>
      </c>
      <c r="Q72" s="14">
        <v>481.30801677703857</v>
      </c>
      <c r="R72" s="14">
        <v>1.5417318188523381</v>
      </c>
      <c r="S72" s="14">
        <v>0.7611113522103673</v>
      </c>
      <c r="T72" s="14">
        <v>0.99391659617368788</v>
      </c>
      <c r="U72" s="14">
        <v>151.98609924316406</v>
      </c>
      <c r="V72" s="14">
        <v>16167.522576346993</v>
      </c>
      <c r="W72" s="14">
        <v>143.03811181487649</v>
      </c>
      <c r="X72" s="14">
        <v>0.87168002015476287</v>
      </c>
      <c r="Y72" s="14">
        <v>3634.909214017357</v>
      </c>
      <c r="Z72" s="14">
        <v>1739.2868423143968</v>
      </c>
      <c r="AA72" s="14" t="s">
        <v>85</v>
      </c>
      <c r="AB72" s="4" t="s">
        <v>312</v>
      </c>
      <c r="AC72" s="4" t="s">
        <v>313</v>
      </c>
      <c r="AD72" s="8" t="b">
        <v>1</v>
      </c>
      <c r="AE72" s="4" t="s">
        <v>440</v>
      </c>
    </row>
    <row r="73" spans="1:31">
      <c r="A73" s="4" t="s">
        <v>441</v>
      </c>
      <c r="B73" s="4" t="s">
        <v>182</v>
      </c>
      <c r="C73" s="4" t="s">
        <v>182</v>
      </c>
      <c r="D73" s="4" t="s">
        <v>181</v>
      </c>
      <c r="E73" s="4" t="s">
        <v>79</v>
      </c>
      <c r="F73" s="4">
        <v>0</v>
      </c>
      <c r="G73" s="4">
        <v>5</v>
      </c>
      <c r="H73" s="4">
        <v>3</v>
      </c>
      <c r="I73" s="14">
        <v>7.2095969999999996</v>
      </c>
      <c r="J73" s="14">
        <v>52.870857000000001</v>
      </c>
      <c r="K73" s="14">
        <v>132</v>
      </c>
      <c r="L73" s="14">
        <v>2.5663999999999999E-2</v>
      </c>
      <c r="M73" s="14">
        <v>580.52</v>
      </c>
      <c r="N73" s="14">
        <v>135.0638427734375</v>
      </c>
      <c r="O73" s="14">
        <v>83.803756713867188</v>
      </c>
      <c r="P73" s="23">
        <v>8879.1216843388975</v>
      </c>
      <c r="Q73" s="14">
        <v>355.79518985748291</v>
      </c>
      <c r="R73" s="14">
        <v>1.6116681169149569</v>
      </c>
      <c r="S73" s="14">
        <v>0.78422611599509706</v>
      </c>
      <c r="T73" s="14">
        <v>1</v>
      </c>
      <c r="U73" s="14">
        <v>5.6164007186889648</v>
      </c>
      <c r="V73" s="14">
        <v>8879.1216843388975</v>
      </c>
      <c r="W73" s="14">
        <v>106.32614377948525</v>
      </c>
      <c r="X73" s="14">
        <v>0.88141355903183494</v>
      </c>
      <c r="Y73" s="14">
        <v>1979.5430967912871</v>
      </c>
      <c r="Z73" s="14">
        <v>644.66945341282815</v>
      </c>
      <c r="AA73" s="14" t="s">
        <v>85</v>
      </c>
      <c r="AB73" s="4" t="s">
        <v>312</v>
      </c>
      <c r="AC73" s="4" t="s">
        <v>313</v>
      </c>
      <c r="AD73" s="8" t="b">
        <v>1</v>
      </c>
      <c r="AE73" s="4" t="s">
        <v>442</v>
      </c>
    </row>
    <row r="74" spans="1:31">
      <c r="A74" s="4" t="s">
        <v>443</v>
      </c>
      <c r="B74" s="4" t="s">
        <v>121</v>
      </c>
      <c r="C74" s="4" t="s">
        <v>121</v>
      </c>
      <c r="D74" s="4" t="s">
        <v>120</v>
      </c>
      <c r="E74" s="4" t="s">
        <v>79</v>
      </c>
      <c r="F74" s="4">
        <v>0</v>
      </c>
      <c r="G74" s="4">
        <v>1</v>
      </c>
      <c r="H74" s="4">
        <v>1</v>
      </c>
      <c r="I74" s="14">
        <v>7.9204480000000004</v>
      </c>
      <c r="J74" s="14">
        <v>86.337868</v>
      </c>
      <c r="K74" s="14">
        <v>149</v>
      </c>
      <c r="L74" s="14">
        <v>9.1444999999999999E-2</v>
      </c>
      <c r="M74" s="14">
        <v>1742.48</v>
      </c>
      <c r="N74" s="14">
        <v>176.52250671386719</v>
      </c>
      <c r="O74" s="14">
        <v>102.43417358398438</v>
      </c>
      <c r="P74" s="23">
        <v>13882.350656472147</v>
      </c>
      <c r="Q74" s="14">
        <v>450.63084983825684</v>
      </c>
      <c r="R74" s="14">
        <v>1.7232775014203516</v>
      </c>
      <c r="S74" s="14">
        <v>0.81441020880485515</v>
      </c>
      <c r="T74" s="14">
        <v>0.99459144043940506</v>
      </c>
      <c r="U74" s="14">
        <v>30.070798873901367</v>
      </c>
      <c r="V74" s="14">
        <v>13957.842478856444</v>
      </c>
      <c r="W74" s="14">
        <v>132.94945592103971</v>
      </c>
      <c r="X74" s="14">
        <v>0.85907490824764932</v>
      </c>
      <c r="Y74" s="14">
        <v>1861.4849763878592</v>
      </c>
      <c r="Z74" s="14">
        <v>1870.3103182971995</v>
      </c>
      <c r="AA74" s="14" t="s">
        <v>85</v>
      </c>
      <c r="AB74" s="4" t="s">
        <v>312</v>
      </c>
      <c r="AC74" s="4" t="s">
        <v>313</v>
      </c>
      <c r="AD74" s="8" t="b">
        <v>1</v>
      </c>
      <c r="AE74" s="4" t="s">
        <v>444</v>
      </c>
    </row>
    <row r="75" spans="1:31">
      <c r="A75" s="4" t="s">
        <v>445</v>
      </c>
      <c r="B75" s="4" t="s">
        <v>121</v>
      </c>
      <c r="C75" s="4" t="s">
        <v>121</v>
      </c>
      <c r="D75" s="4" t="s">
        <v>120</v>
      </c>
      <c r="E75" s="4" t="s">
        <v>79</v>
      </c>
      <c r="F75" s="4">
        <v>0</v>
      </c>
      <c r="G75" s="4">
        <v>2</v>
      </c>
      <c r="H75" s="4">
        <v>2</v>
      </c>
      <c r="I75" s="14">
        <v>7.4786260000000002</v>
      </c>
      <c r="J75" s="14">
        <v>49.972285999999997</v>
      </c>
      <c r="K75" s="14">
        <v>155</v>
      </c>
      <c r="L75" s="14">
        <v>0.109219</v>
      </c>
      <c r="M75" s="14">
        <v>1651.98</v>
      </c>
      <c r="N75" s="14">
        <v>141.2677001953125</v>
      </c>
      <c r="O75" s="14">
        <v>82.228843688964844</v>
      </c>
      <c r="P75" s="23">
        <v>8953.1811417043209</v>
      </c>
      <c r="Q75" s="14">
        <v>362.50595283508301</v>
      </c>
      <c r="R75" s="14">
        <v>1.7179823266111511</v>
      </c>
      <c r="S75" s="14">
        <v>0.81313283659538971</v>
      </c>
      <c r="T75" s="14">
        <v>0.99306099527275848</v>
      </c>
      <c r="U75" s="14">
        <v>114.82850074768066</v>
      </c>
      <c r="V75" s="14">
        <v>9015.7414139956236</v>
      </c>
      <c r="W75" s="14">
        <v>106.76864839827773</v>
      </c>
      <c r="X75" s="14">
        <v>0.85616397497586327</v>
      </c>
      <c r="Y75" s="14">
        <v>1729.6784772348567</v>
      </c>
      <c r="Z75" s="14">
        <v>2799.5861689823273</v>
      </c>
      <c r="AA75" s="14" t="s">
        <v>85</v>
      </c>
      <c r="AB75" s="4" t="s">
        <v>312</v>
      </c>
      <c r="AC75" s="4" t="s">
        <v>313</v>
      </c>
      <c r="AD75" s="8" t="b">
        <v>1</v>
      </c>
      <c r="AE75" s="4" t="s">
        <v>446</v>
      </c>
    </row>
    <row r="76" spans="1:31">
      <c r="A76" s="4" t="s">
        <v>447</v>
      </c>
      <c r="B76" s="4" t="s">
        <v>121</v>
      </c>
      <c r="C76" s="4" t="s">
        <v>121</v>
      </c>
      <c r="D76" s="4" t="s">
        <v>120</v>
      </c>
      <c r="E76" s="4" t="s">
        <v>79</v>
      </c>
      <c r="F76" s="4">
        <v>0</v>
      </c>
      <c r="G76" s="4">
        <v>3</v>
      </c>
      <c r="H76" s="4">
        <v>3</v>
      </c>
      <c r="I76" s="14">
        <v>7.1514810000000004</v>
      </c>
      <c r="J76" s="14">
        <v>47.308788</v>
      </c>
      <c r="K76" s="14">
        <v>144</v>
      </c>
      <c r="L76" s="14">
        <v>0.108711</v>
      </c>
      <c r="M76" s="14">
        <v>1789.35</v>
      </c>
      <c r="N76" s="14">
        <v>157.52693176269531</v>
      </c>
      <c r="O76" s="14">
        <v>90.422981262207031</v>
      </c>
      <c r="P76" s="23">
        <v>10728.205570995808</v>
      </c>
      <c r="Q76" s="14">
        <v>401.82492542266846</v>
      </c>
      <c r="R76" s="14">
        <v>1.7421116796171692</v>
      </c>
      <c r="S76" s="14">
        <v>0.81884407378442114</v>
      </c>
      <c r="T76" s="14">
        <v>0.98799265111308388</v>
      </c>
      <c r="U76" s="14">
        <v>57.89581298828125</v>
      </c>
      <c r="V76" s="14">
        <v>10858.588430702686</v>
      </c>
      <c r="W76" s="14">
        <v>116.8741869577707</v>
      </c>
      <c r="X76" s="14">
        <v>0.83495526044572166</v>
      </c>
      <c r="Y76" s="14">
        <v>2125.8877522935286</v>
      </c>
      <c r="Z76" s="14">
        <v>2320.0168927735258</v>
      </c>
      <c r="AA76" s="14" t="s">
        <v>85</v>
      </c>
      <c r="AB76" s="4" t="s">
        <v>312</v>
      </c>
      <c r="AC76" s="4" t="s">
        <v>313</v>
      </c>
      <c r="AD76" s="8" t="b">
        <v>1</v>
      </c>
      <c r="AE76" s="4" t="s">
        <v>448</v>
      </c>
    </row>
    <row r="77" spans="1:31">
      <c r="A77" s="4" t="s">
        <v>449</v>
      </c>
      <c r="B77" s="4" t="s">
        <v>230</v>
      </c>
      <c r="C77" s="4" t="s">
        <v>230</v>
      </c>
      <c r="D77" s="4" t="s">
        <v>229</v>
      </c>
      <c r="E77" s="4" t="s">
        <v>79</v>
      </c>
      <c r="F77" s="4">
        <v>0</v>
      </c>
      <c r="G77" s="4">
        <v>1</v>
      </c>
      <c r="H77" s="4">
        <v>1</v>
      </c>
      <c r="I77" s="14">
        <v>8.5708020000000005</v>
      </c>
      <c r="J77" s="14">
        <v>55.345654000000003</v>
      </c>
      <c r="K77" s="14">
        <v>187</v>
      </c>
      <c r="L77" s="14">
        <v>4.5234000000000003E-2</v>
      </c>
      <c r="M77" s="14">
        <v>852.88</v>
      </c>
      <c r="N77" s="14">
        <v>160.10810852050781</v>
      </c>
      <c r="O77" s="14">
        <v>82.82232666015625</v>
      </c>
      <c r="P77" s="23">
        <v>10708.698265969753</v>
      </c>
      <c r="Q77" s="14">
        <v>399.19425678253174</v>
      </c>
      <c r="R77" s="14">
        <v>1.9331515423066692</v>
      </c>
      <c r="S77" s="14">
        <v>0.85581016306142343</v>
      </c>
      <c r="T77" s="14">
        <v>0.99739481000982333</v>
      </c>
      <c r="U77" s="14">
        <v>25.900640487670898</v>
      </c>
      <c r="V77" s="14">
        <v>10736.669329434633</v>
      </c>
      <c r="W77" s="14">
        <v>116.76788130675985</v>
      </c>
      <c r="X77" s="14">
        <v>0.84445784946569602</v>
      </c>
      <c r="Y77" s="14">
        <v>3033.4427727468901</v>
      </c>
      <c r="Z77" s="14">
        <v>3140.4008387752342</v>
      </c>
      <c r="AA77" s="14" t="s">
        <v>85</v>
      </c>
      <c r="AB77" s="4" t="s">
        <v>312</v>
      </c>
      <c r="AC77" s="4" t="s">
        <v>313</v>
      </c>
      <c r="AD77" s="8" t="b">
        <v>1</v>
      </c>
      <c r="AE77" s="4" t="s">
        <v>450</v>
      </c>
    </row>
    <row r="78" spans="1:31">
      <c r="A78" s="4" t="s">
        <v>451</v>
      </c>
      <c r="B78" s="4" t="s">
        <v>230</v>
      </c>
      <c r="C78" s="4" t="s">
        <v>230</v>
      </c>
      <c r="D78" s="4" t="s">
        <v>229</v>
      </c>
      <c r="E78" s="4" t="s">
        <v>79</v>
      </c>
      <c r="F78" s="4">
        <v>0</v>
      </c>
      <c r="G78" s="4">
        <v>2</v>
      </c>
      <c r="H78" s="4">
        <v>2</v>
      </c>
      <c r="I78" s="14">
        <v>8.3240599999999993</v>
      </c>
      <c r="J78" s="14">
        <v>70.969887</v>
      </c>
      <c r="K78" s="14">
        <v>163</v>
      </c>
      <c r="L78" s="14">
        <v>9.0620000000000006E-3</v>
      </c>
      <c r="M78" s="14">
        <v>1836.02</v>
      </c>
      <c r="N78" s="14">
        <v>135.37884521484375</v>
      </c>
      <c r="O78" s="14">
        <v>115.66264343261719</v>
      </c>
      <c r="P78" s="23">
        <v>12676.43664932251</v>
      </c>
      <c r="Q78" s="14">
        <v>414.6353588104248</v>
      </c>
      <c r="R78" s="14">
        <v>1.1704630051423028</v>
      </c>
      <c r="S78" s="14">
        <v>0.51967709157666653</v>
      </c>
      <c r="T78" s="14">
        <v>1</v>
      </c>
      <c r="U78" s="14">
        <v>35.101917266845703</v>
      </c>
      <c r="V78" s="14">
        <v>12676.43664932251</v>
      </c>
      <c r="W78" s="14">
        <v>127.04385238274035</v>
      </c>
      <c r="X78" s="14">
        <v>0.92656178695165015</v>
      </c>
      <c r="Y78" s="14">
        <v>1929.1414101482844</v>
      </c>
      <c r="Z78" s="14">
        <v>3763.306900673103</v>
      </c>
      <c r="AA78" s="14" t="s">
        <v>85</v>
      </c>
      <c r="AB78" s="4" t="s">
        <v>312</v>
      </c>
      <c r="AC78" s="4" t="s">
        <v>313</v>
      </c>
      <c r="AD78" s="8" t="b">
        <v>1</v>
      </c>
      <c r="AE78" s="4" t="s">
        <v>452</v>
      </c>
    </row>
    <row r="79" spans="1:31">
      <c r="A79" s="4" t="s">
        <v>453</v>
      </c>
      <c r="B79" s="4" t="s">
        <v>230</v>
      </c>
      <c r="C79" s="4" t="s">
        <v>230</v>
      </c>
      <c r="D79" s="4" t="s">
        <v>229</v>
      </c>
      <c r="E79" s="4" t="s">
        <v>79</v>
      </c>
      <c r="F79" s="4">
        <v>0</v>
      </c>
      <c r="G79" s="4">
        <v>45</v>
      </c>
      <c r="H79" s="4">
        <v>3</v>
      </c>
      <c r="I79" s="14">
        <v>6.4914399999999999</v>
      </c>
      <c r="J79" s="14">
        <v>38.841811999999997</v>
      </c>
      <c r="K79" s="14">
        <v>120</v>
      </c>
      <c r="L79" s="14">
        <v>6.4491999999999994E-2</v>
      </c>
      <c r="M79" s="14">
        <v>1163.1400000000001</v>
      </c>
      <c r="N79" s="14">
        <v>103.33475494384766</v>
      </c>
      <c r="O79" s="14">
        <v>78.681419372558594</v>
      </c>
      <c r="P79" s="23">
        <v>6195.6292193382978</v>
      </c>
      <c r="Q79" s="14">
        <v>289.75645542144775</v>
      </c>
      <c r="R79" s="14">
        <v>1.313331098598449</v>
      </c>
      <c r="S79" s="14">
        <v>0.64825581427039791</v>
      </c>
      <c r="T79" s="14">
        <v>1</v>
      </c>
      <c r="U79" s="14">
        <v>168.37458801269531</v>
      </c>
      <c r="V79" s="14">
        <v>6195.6292193382978</v>
      </c>
      <c r="W79" s="14">
        <v>88.817341361798071</v>
      </c>
      <c r="X79" s="14">
        <v>0.92731875339234637</v>
      </c>
      <c r="Y79" s="14">
        <v>2751.9099946331858</v>
      </c>
      <c r="Z79" s="14">
        <v>1660.3313830134582</v>
      </c>
      <c r="AA79" s="14" t="s">
        <v>85</v>
      </c>
      <c r="AB79" s="4" t="s">
        <v>312</v>
      </c>
      <c r="AC79" s="4" t="s">
        <v>313</v>
      </c>
      <c r="AD79" s="8" t="b">
        <v>1</v>
      </c>
      <c r="AE79" s="4" t="s">
        <v>454</v>
      </c>
    </row>
    <row r="80" spans="1:31">
      <c r="A80" s="4" t="s">
        <v>455</v>
      </c>
      <c r="B80" s="4" t="s">
        <v>206</v>
      </c>
      <c r="C80" s="4" t="s">
        <v>206</v>
      </c>
      <c r="D80" s="4" t="s">
        <v>205</v>
      </c>
      <c r="E80" s="4" t="s">
        <v>79</v>
      </c>
      <c r="F80" s="4">
        <v>0</v>
      </c>
      <c r="G80" s="4">
        <v>3</v>
      </c>
      <c r="H80" s="4">
        <v>1</v>
      </c>
      <c r="I80" s="14">
        <v>8.0621349999999996</v>
      </c>
      <c r="J80" s="14">
        <v>100.136505</v>
      </c>
      <c r="K80" s="14">
        <v>138</v>
      </c>
      <c r="L80" s="14">
        <v>1.4450000000000001E-3</v>
      </c>
      <c r="M80" s="14">
        <v>1252.6600000000001</v>
      </c>
      <c r="N80" s="14">
        <v>206.14024353027344</v>
      </c>
      <c r="O80" s="14">
        <v>149.88731384277344</v>
      </c>
      <c r="P80" s="23">
        <v>23958.731087103486</v>
      </c>
      <c r="Q80" s="14">
        <v>581.79525375366211</v>
      </c>
      <c r="R80" s="14">
        <v>1.3753014731220505</v>
      </c>
      <c r="S80" s="14">
        <v>0.68651747330714941</v>
      </c>
      <c r="T80" s="14">
        <v>0.98531448663860022</v>
      </c>
      <c r="U80" s="14">
        <v>69.649635314941406</v>
      </c>
      <c r="V80" s="14">
        <v>24315.821407273412</v>
      </c>
      <c r="W80" s="14">
        <v>174.65738994321379</v>
      </c>
      <c r="X80" s="14">
        <v>0.88947414591235796</v>
      </c>
      <c r="Y80" s="14">
        <v>1394.5174058641164</v>
      </c>
      <c r="Z80" s="14">
        <v>4168.307430609626</v>
      </c>
      <c r="AA80" s="14" t="s">
        <v>85</v>
      </c>
      <c r="AB80" s="4" t="s">
        <v>312</v>
      </c>
      <c r="AC80" s="4" t="s">
        <v>313</v>
      </c>
      <c r="AD80" s="8" t="b">
        <v>1</v>
      </c>
      <c r="AE80" s="4" t="s">
        <v>456</v>
      </c>
    </row>
    <row r="81" spans="1:31">
      <c r="A81" s="4" t="s">
        <v>457</v>
      </c>
      <c r="B81" s="4" t="s">
        <v>206</v>
      </c>
      <c r="C81" s="4" t="s">
        <v>206</v>
      </c>
      <c r="D81" s="4" t="s">
        <v>205</v>
      </c>
      <c r="E81" s="4" t="s">
        <v>79</v>
      </c>
      <c r="F81" s="4">
        <v>0</v>
      </c>
      <c r="G81" s="4">
        <v>9</v>
      </c>
      <c r="H81" s="4">
        <v>2</v>
      </c>
      <c r="I81" s="14">
        <v>7.0077119999999997</v>
      </c>
      <c r="J81" s="14">
        <v>41.417296999999998</v>
      </c>
      <c r="K81" s="14">
        <v>135</v>
      </c>
      <c r="L81" s="14">
        <v>3.8281000000000003E-2</v>
      </c>
      <c r="M81" s="14">
        <v>1509.84</v>
      </c>
      <c r="N81" s="14">
        <v>139.91236877441406</v>
      </c>
      <c r="O81" s="14">
        <v>101.89837646484375</v>
      </c>
      <c r="P81" s="23">
        <v>10944.023189976811</v>
      </c>
      <c r="Q81" s="14">
        <v>390.10507392883301</v>
      </c>
      <c r="R81" s="14">
        <v>1.3730578800996465</v>
      </c>
      <c r="S81" s="14">
        <v>0.68525691946678069</v>
      </c>
      <c r="T81" s="14">
        <v>1</v>
      </c>
      <c r="U81" s="14">
        <v>171.3997802734375</v>
      </c>
      <c r="V81" s="14">
        <v>10944.023189976811</v>
      </c>
      <c r="W81" s="14">
        <v>118.04390329016208</v>
      </c>
      <c r="X81" s="14">
        <v>0.90369872717288036</v>
      </c>
      <c r="Y81" s="14">
        <v>1597.2133026743622</v>
      </c>
      <c r="Z81" s="14">
        <v>2202.6563640627651</v>
      </c>
      <c r="AA81" s="14" t="s">
        <v>85</v>
      </c>
      <c r="AB81" s="4" t="s">
        <v>312</v>
      </c>
      <c r="AC81" s="4" t="s">
        <v>313</v>
      </c>
      <c r="AD81" s="8" t="b">
        <v>1</v>
      </c>
      <c r="AE81" s="4" t="s">
        <v>458</v>
      </c>
    </row>
    <row r="82" spans="1:31">
      <c r="A82" s="4" t="s">
        <v>459</v>
      </c>
      <c r="B82" s="4" t="s">
        <v>157</v>
      </c>
      <c r="C82" s="4" t="s">
        <v>157</v>
      </c>
      <c r="D82" s="4" t="s">
        <v>156</v>
      </c>
      <c r="E82" s="4" t="s">
        <v>79</v>
      </c>
      <c r="F82" s="4">
        <v>0</v>
      </c>
      <c r="G82" s="4">
        <v>1</v>
      </c>
      <c r="H82" s="4">
        <v>1</v>
      </c>
      <c r="I82" s="14">
        <v>6.900201</v>
      </c>
      <c r="J82" s="14">
        <v>40.337237999999999</v>
      </c>
      <c r="K82" s="14">
        <v>143</v>
      </c>
      <c r="L82" s="14">
        <v>0.132188</v>
      </c>
      <c r="M82" s="14">
        <v>879.17</v>
      </c>
      <c r="N82" s="14">
        <v>151.67581176757812</v>
      </c>
      <c r="O82" s="14">
        <v>109.91878509521484</v>
      </c>
      <c r="P82" s="23">
        <v>12877.403205726296</v>
      </c>
      <c r="Q82" s="14">
        <v>414.66458034515381</v>
      </c>
      <c r="R82" s="14">
        <v>1.3798898126120311</v>
      </c>
      <c r="S82" s="14">
        <v>0.68906920322812359</v>
      </c>
      <c r="T82" s="14">
        <v>0.99870918684668775</v>
      </c>
      <c r="U82" s="14">
        <v>49.265365600585938</v>
      </c>
      <c r="V82" s="14">
        <v>12894.047011207789</v>
      </c>
      <c r="W82" s="14">
        <v>128.04694059222999</v>
      </c>
      <c r="X82" s="14">
        <v>0.94111842726011452</v>
      </c>
      <c r="Y82" s="14">
        <v>1562.4801030610229</v>
      </c>
      <c r="Z82" s="14">
        <v>958.19456759520722</v>
      </c>
      <c r="AA82" s="14" t="s">
        <v>85</v>
      </c>
      <c r="AB82" s="4" t="s">
        <v>312</v>
      </c>
      <c r="AC82" s="4" t="s">
        <v>313</v>
      </c>
      <c r="AD82" s="8" t="b">
        <v>1</v>
      </c>
      <c r="AE82" s="4" t="s">
        <v>460</v>
      </c>
    </row>
    <row r="83" spans="1:31">
      <c r="A83" s="4" t="s">
        <v>461</v>
      </c>
      <c r="B83" s="4" t="s">
        <v>157</v>
      </c>
      <c r="C83" s="4" t="s">
        <v>157</v>
      </c>
      <c r="D83" s="4" t="s">
        <v>156</v>
      </c>
      <c r="E83" s="4" t="s">
        <v>79</v>
      </c>
      <c r="F83" s="4">
        <v>0</v>
      </c>
      <c r="G83" s="4">
        <v>3</v>
      </c>
      <c r="H83" s="4">
        <v>2</v>
      </c>
      <c r="I83" s="14">
        <v>6.5843280000000002</v>
      </c>
      <c r="J83" s="14">
        <v>36.758217000000002</v>
      </c>
      <c r="K83" s="14">
        <v>132</v>
      </c>
      <c r="L83" s="14">
        <v>0.11562500000000001</v>
      </c>
      <c r="M83" s="14">
        <v>868.16</v>
      </c>
      <c r="N83" s="14">
        <v>103.22278594970703</v>
      </c>
      <c r="O83" s="14">
        <v>96.790885925292969</v>
      </c>
      <c r="P83" s="23">
        <v>7938.9910083860159</v>
      </c>
      <c r="Q83" s="14">
        <v>324.083327293396</v>
      </c>
      <c r="R83" s="14">
        <v>1.0664515048387764</v>
      </c>
      <c r="S83" s="14">
        <v>0.34747527526502381</v>
      </c>
      <c r="T83" s="14">
        <v>1</v>
      </c>
      <c r="U83" s="14">
        <v>109.99096488952637</v>
      </c>
      <c r="V83" s="14">
        <v>7938.9910083860159</v>
      </c>
      <c r="W83" s="14">
        <v>100.53972994380858</v>
      </c>
      <c r="X83" s="14">
        <v>0.94986480470125489</v>
      </c>
      <c r="Y83" s="14">
        <v>1768.1621347316661</v>
      </c>
      <c r="Z83" s="14">
        <v>935.37631900889221</v>
      </c>
      <c r="AA83" s="14" t="s">
        <v>85</v>
      </c>
      <c r="AB83" s="4" t="s">
        <v>312</v>
      </c>
      <c r="AC83" s="4" t="s">
        <v>313</v>
      </c>
      <c r="AD83" s="8" t="b">
        <v>1</v>
      </c>
      <c r="AE83" s="4" t="s">
        <v>462</v>
      </c>
    </row>
    <row r="84" spans="1:31">
      <c r="A84" s="4" t="s">
        <v>463</v>
      </c>
      <c r="B84" s="4" t="s">
        <v>157</v>
      </c>
      <c r="C84" s="4" t="s">
        <v>157</v>
      </c>
      <c r="D84" s="4" t="s">
        <v>156</v>
      </c>
      <c r="E84" s="4" t="s">
        <v>79</v>
      </c>
      <c r="F84" s="4">
        <v>0</v>
      </c>
      <c r="G84" s="4">
        <v>8</v>
      </c>
      <c r="H84" s="4">
        <v>3</v>
      </c>
      <c r="I84" s="14">
        <v>4.1888019999999999</v>
      </c>
      <c r="J84" s="14">
        <v>23.531898000000002</v>
      </c>
      <c r="K84" s="14">
        <v>75</v>
      </c>
      <c r="L84" s="14">
        <v>0.29539100000000001</v>
      </c>
      <c r="M84" s="14">
        <v>410.15</v>
      </c>
      <c r="N84" s="14">
        <v>163.144287109375</v>
      </c>
      <c r="O84" s="14">
        <v>105.28148651123047</v>
      </c>
      <c r="P84" s="23">
        <v>13332.353392630816</v>
      </c>
      <c r="Q84" s="14">
        <v>431.0280647277832</v>
      </c>
      <c r="R84" s="14">
        <v>1.5496009081518074</v>
      </c>
      <c r="S84" s="14">
        <v>0.76390607041798264</v>
      </c>
      <c r="T84" s="14">
        <v>1</v>
      </c>
      <c r="U84" s="14">
        <v>159.74462890625</v>
      </c>
      <c r="V84" s="14">
        <v>13332.353392630816</v>
      </c>
      <c r="W84" s="14">
        <v>130.28921507124664</v>
      </c>
      <c r="X84" s="14">
        <v>0.90179035026474941</v>
      </c>
      <c r="Y84" s="14">
        <v>3479.3880758067498</v>
      </c>
      <c r="Z84" s="14">
        <v>2017.8623477161689</v>
      </c>
      <c r="AA84" s="14" t="s">
        <v>85</v>
      </c>
      <c r="AB84" s="4" t="s">
        <v>312</v>
      </c>
      <c r="AC84" s="4" t="s">
        <v>313</v>
      </c>
      <c r="AD84" s="8" t="b">
        <v>1</v>
      </c>
      <c r="AE84" s="4" t="s">
        <v>464</v>
      </c>
    </row>
    <row r="85" spans="1:31">
      <c r="A85" s="4" t="s">
        <v>465</v>
      </c>
      <c r="B85" s="4" t="s">
        <v>109</v>
      </c>
      <c r="C85" s="4" t="s">
        <v>109</v>
      </c>
      <c r="D85" s="4" t="s">
        <v>108</v>
      </c>
      <c r="E85" s="4" t="s">
        <v>79</v>
      </c>
      <c r="F85" s="4">
        <v>0</v>
      </c>
      <c r="G85" s="4">
        <v>1</v>
      </c>
      <c r="H85" s="4">
        <v>1</v>
      </c>
      <c r="I85" s="14">
        <v>7.9062250000000001</v>
      </c>
      <c r="J85" s="14">
        <v>76.989684999999994</v>
      </c>
      <c r="K85" s="14">
        <v>151</v>
      </c>
      <c r="L85" s="14">
        <v>7.5117000000000003E-2</v>
      </c>
      <c r="M85" s="14">
        <v>178.97</v>
      </c>
      <c r="N85" s="14">
        <v>159.70515441894531</v>
      </c>
      <c r="O85" s="14">
        <v>78.098831176757812</v>
      </c>
      <c r="P85" s="23">
        <v>9431.0012358371168</v>
      </c>
      <c r="Q85" s="14">
        <v>386.97590065002441</v>
      </c>
      <c r="R85" s="14">
        <v>2.0449109418486855</v>
      </c>
      <c r="S85" s="14">
        <v>0.87227321578421368</v>
      </c>
      <c r="T85" s="14">
        <v>0.98354223661465257</v>
      </c>
      <c r="U85" s="14">
        <v>36.539905548095703</v>
      </c>
      <c r="V85" s="14">
        <v>9588.8116287700832</v>
      </c>
      <c r="W85" s="14">
        <v>109.58067220050262</v>
      </c>
      <c r="X85" s="14">
        <v>0.79140688904558831</v>
      </c>
      <c r="Y85" s="14">
        <v>255.94660528047325</v>
      </c>
      <c r="Z85" s="14">
        <v>2512.9274835204983</v>
      </c>
      <c r="AA85" s="14" t="s">
        <v>85</v>
      </c>
      <c r="AB85" s="4" t="s">
        <v>312</v>
      </c>
      <c r="AC85" s="4" t="s">
        <v>313</v>
      </c>
      <c r="AD85" s="8" t="b">
        <v>1</v>
      </c>
      <c r="AE85" s="4" t="s">
        <v>466</v>
      </c>
    </row>
    <row r="86" spans="1:31">
      <c r="A86" s="4" t="s">
        <v>467</v>
      </c>
      <c r="B86" s="4" t="s">
        <v>109</v>
      </c>
      <c r="C86" s="4" t="s">
        <v>109</v>
      </c>
      <c r="D86" s="4" t="s">
        <v>108</v>
      </c>
      <c r="E86" s="4" t="s">
        <v>79</v>
      </c>
      <c r="F86" s="4">
        <v>0</v>
      </c>
      <c r="G86" s="4">
        <v>2</v>
      </c>
      <c r="H86" s="4">
        <v>2</v>
      </c>
      <c r="I86" s="14">
        <v>7.7035819999999999</v>
      </c>
      <c r="J86" s="14">
        <v>42.824081</v>
      </c>
      <c r="K86" s="14">
        <v>161</v>
      </c>
      <c r="L86" s="14">
        <v>3.3867000000000001E-2</v>
      </c>
      <c r="M86" s="14">
        <v>557.20000000000005</v>
      </c>
      <c r="N86" s="14">
        <v>132.49026489257812</v>
      </c>
      <c r="O86" s="14">
        <v>97.187446594238281</v>
      </c>
      <c r="P86" s="23">
        <v>9390.4546034783125</v>
      </c>
      <c r="Q86" s="14">
        <v>365.08654880523682</v>
      </c>
      <c r="R86" s="14">
        <v>1.3632446322592526</v>
      </c>
      <c r="S86" s="14">
        <v>0.67964190169246408</v>
      </c>
      <c r="T86" s="14">
        <v>0.99007664917978533</v>
      </c>
      <c r="U86" s="14">
        <v>59.634170532226562</v>
      </c>
      <c r="V86" s="14">
        <v>9484.5733522325754</v>
      </c>
      <c r="W86" s="14">
        <v>109.34485879175546</v>
      </c>
      <c r="X86" s="14">
        <v>0.88532925873143187</v>
      </c>
      <c r="Y86" s="14">
        <v>621.81319449047567</v>
      </c>
      <c r="Z86" s="14">
        <v>2621.5998026129409</v>
      </c>
      <c r="AA86" s="14" t="s">
        <v>85</v>
      </c>
      <c r="AB86" s="4" t="s">
        <v>312</v>
      </c>
      <c r="AC86" s="4" t="s">
        <v>313</v>
      </c>
      <c r="AD86" s="8" t="b">
        <v>1</v>
      </c>
      <c r="AE86" s="4" t="s">
        <v>468</v>
      </c>
    </row>
    <row r="87" spans="1:31">
      <c r="A87" s="4" t="s">
        <v>469</v>
      </c>
      <c r="B87" s="4" t="s">
        <v>109</v>
      </c>
      <c r="C87" s="4" t="s">
        <v>109</v>
      </c>
      <c r="D87" s="4" t="s">
        <v>108</v>
      </c>
      <c r="E87" s="4" t="s">
        <v>79</v>
      </c>
      <c r="F87" s="4">
        <v>0</v>
      </c>
      <c r="G87" s="4">
        <v>3</v>
      </c>
      <c r="H87" s="4">
        <v>3</v>
      </c>
      <c r="I87" s="14">
        <v>7.6487749999999997</v>
      </c>
      <c r="J87" s="14">
        <v>65.800124999999994</v>
      </c>
      <c r="K87" s="14">
        <v>150</v>
      </c>
      <c r="L87" s="14">
        <v>0.100977</v>
      </c>
      <c r="M87" s="14">
        <v>1610.48</v>
      </c>
      <c r="N87" s="14">
        <v>114.54466247558594</v>
      </c>
      <c r="O87" s="14">
        <v>86.79949951171875</v>
      </c>
      <c r="P87" s="23">
        <v>7961.1980889737606</v>
      </c>
      <c r="Q87" s="14">
        <v>332.44805812835693</v>
      </c>
      <c r="R87" s="14">
        <v>1.3196465776870214</v>
      </c>
      <c r="S87" s="14">
        <v>0.65251170107149892</v>
      </c>
      <c r="T87" s="14">
        <v>0.98269886183684707</v>
      </c>
      <c r="U87" s="14">
        <v>139.86772918701172</v>
      </c>
      <c r="V87" s="14">
        <v>8101.3608523905277</v>
      </c>
      <c r="W87" s="14">
        <v>100.68024746866388</v>
      </c>
      <c r="X87" s="14">
        <v>0.90519197083868896</v>
      </c>
      <c r="Y87" s="14">
        <v>2315.4785863661818</v>
      </c>
      <c r="Z87" s="14">
        <v>2529.7412401675915</v>
      </c>
      <c r="AA87" s="14" t="s">
        <v>85</v>
      </c>
      <c r="AB87" s="4" t="s">
        <v>312</v>
      </c>
      <c r="AC87" s="4" t="s">
        <v>313</v>
      </c>
      <c r="AD87" s="8" t="b">
        <v>1</v>
      </c>
      <c r="AE87" s="4" t="s">
        <v>470</v>
      </c>
    </row>
    <row r="88" spans="1:31">
      <c r="A88" s="4" t="s">
        <v>471</v>
      </c>
      <c r="B88" s="4" t="s">
        <v>243</v>
      </c>
      <c r="C88" s="4" t="s">
        <v>243</v>
      </c>
      <c r="D88" s="4" t="s">
        <v>241</v>
      </c>
      <c r="E88" s="4" t="s">
        <v>79</v>
      </c>
      <c r="F88" s="4">
        <v>0</v>
      </c>
      <c r="G88" s="4">
        <v>1</v>
      </c>
      <c r="H88" s="4">
        <v>1</v>
      </c>
      <c r="I88" s="14">
        <v>8.780386</v>
      </c>
      <c r="J88" s="14">
        <v>59.713546999999998</v>
      </c>
      <c r="K88" s="14">
        <v>188</v>
      </c>
      <c r="L88" s="14">
        <v>8.5939999999999992E-3</v>
      </c>
      <c r="M88" s="14">
        <v>1058.69</v>
      </c>
      <c r="N88" s="14">
        <v>94.145881652832031</v>
      </c>
      <c r="O88" s="14">
        <v>80.530036926269531</v>
      </c>
      <c r="P88" s="23">
        <v>5890.0944551229477</v>
      </c>
      <c r="Q88" s="14">
        <v>280.70643138885498</v>
      </c>
      <c r="R88" s="14">
        <v>1.1690778403470581</v>
      </c>
      <c r="S88" s="14">
        <v>0.51800921560991398</v>
      </c>
      <c r="T88" s="14">
        <v>1</v>
      </c>
      <c r="U88" s="14">
        <v>158.01146697998047</v>
      </c>
      <c r="V88" s="14">
        <v>5890.0944551229477</v>
      </c>
      <c r="W88" s="14">
        <v>86.599660406307876</v>
      </c>
      <c r="X88" s="14">
        <v>0.939349908071338</v>
      </c>
      <c r="Y88" s="14">
        <v>3445.552951059798</v>
      </c>
      <c r="Z88" s="14">
        <v>2886.8560546520607</v>
      </c>
      <c r="AA88" s="14" t="s">
        <v>85</v>
      </c>
      <c r="AB88" s="4" t="s">
        <v>312</v>
      </c>
      <c r="AC88" s="4" t="s">
        <v>313</v>
      </c>
      <c r="AD88" s="8" t="b">
        <v>1</v>
      </c>
      <c r="AE88" s="4" t="s">
        <v>472</v>
      </c>
    </row>
    <row r="89" spans="1:31">
      <c r="A89" s="4" t="s">
        <v>473</v>
      </c>
      <c r="B89" s="4" t="s">
        <v>243</v>
      </c>
      <c r="C89" s="4" t="s">
        <v>243</v>
      </c>
      <c r="D89" s="4" t="s">
        <v>241</v>
      </c>
      <c r="E89" s="4" t="s">
        <v>79</v>
      </c>
      <c r="F89" s="4">
        <v>0</v>
      </c>
      <c r="G89" s="4">
        <v>2</v>
      </c>
      <c r="H89" s="4">
        <v>2</v>
      </c>
      <c r="I89" s="14">
        <v>8.6321980000000007</v>
      </c>
      <c r="J89" s="14">
        <v>84.327324000000004</v>
      </c>
      <c r="K89" s="14">
        <v>174</v>
      </c>
      <c r="L89" s="14">
        <v>5.4766000000000002E-2</v>
      </c>
      <c r="M89" s="14">
        <v>1252.48</v>
      </c>
      <c r="N89" s="14">
        <v>127.52749633789062</v>
      </c>
      <c r="O89" s="14">
        <v>85.614578247070312</v>
      </c>
      <c r="P89" s="23">
        <v>8473.8614059686661</v>
      </c>
      <c r="Q89" s="14">
        <v>350.52651786804199</v>
      </c>
      <c r="R89" s="14">
        <v>1.4895535193768772</v>
      </c>
      <c r="S89" s="14">
        <v>0.74114760590264794</v>
      </c>
      <c r="T89" s="14">
        <v>1</v>
      </c>
      <c r="U89" s="14">
        <v>154.12998199462891</v>
      </c>
      <c r="V89" s="14">
        <v>8473.8614059686661</v>
      </c>
      <c r="W89" s="14">
        <v>103.87134079564204</v>
      </c>
      <c r="X89" s="14">
        <v>0.86666141877181169</v>
      </c>
      <c r="Y89" s="14">
        <v>2846.8075429170358</v>
      </c>
      <c r="Z89" s="14">
        <v>2683.727115254238</v>
      </c>
      <c r="AA89" s="14" t="s">
        <v>85</v>
      </c>
      <c r="AB89" s="4" t="s">
        <v>312</v>
      </c>
      <c r="AC89" s="4" t="s">
        <v>313</v>
      </c>
      <c r="AD89" s="8" t="b">
        <v>1</v>
      </c>
      <c r="AE89" s="4" t="s">
        <v>474</v>
      </c>
    </row>
    <row r="90" spans="1:31">
      <c r="A90" s="4" t="s">
        <v>475</v>
      </c>
      <c r="B90" s="4" t="s">
        <v>243</v>
      </c>
      <c r="C90" s="4" t="s">
        <v>243</v>
      </c>
      <c r="D90" s="4" t="s">
        <v>241</v>
      </c>
      <c r="E90" s="4" t="s">
        <v>79</v>
      </c>
      <c r="F90" s="4">
        <v>0</v>
      </c>
      <c r="G90" s="4">
        <v>3</v>
      </c>
      <c r="H90" s="4">
        <v>3</v>
      </c>
      <c r="I90" s="14">
        <v>8.5797969999999992</v>
      </c>
      <c r="J90" s="14">
        <v>79.056030000000007</v>
      </c>
      <c r="K90" s="14">
        <v>171</v>
      </c>
      <c r="L90" s="14">
        <v>2.5977E-2</v>
      </c>
      <c r="M90" s="14">
        <v>1484.99</v>
      </c>
      <c r="N90" s="14">
        <v>113.96865844726562</v>
      </c>
      <c r="O90" s="14">
        <v>87.688682556152344</v>
      </c>
      <c r="P90" s="23">
        <v>8320.218030244112</v>
      </c>
      <c r="Q90" s="14">
        <v>334.9766674041748</v>
      </c>
      <c r="R90" s="14">
        <v>1.2996963248282882</v>
      </c>
      <c r="S90" s="14">
        <v>0.63875463322371995</v>
      </c>
      <c r="T90" s="14">
        <v>1</v>
      </c>
      <c r="U90" s="14">
        <v>84.557601928710938</v>
      </c>
      <c r="V90" s="14">
        <v>8320.218030244112</v>
      </c>
      <c r="W90" s="14">
        <v>102.92536430309735</v>
      </c>
      <c r="X90" s="14">
        <v>0.93178444454837639</v>
      </c>
      <c r="Y90" s="14">
        <v>2668.9812686609457</v>
      </c>
      <c r="Z90" s="14">
        <v>1552.0644673297459</v>
      </c>
      <c r="AA90" s="14" t="s">
        <v>85</v>
      </c>
      <c r="AB90" s="4" t="s">
        <v>312</v>
      </c>
      <c r="AC90" s="4" t="s">
        <v>313</v>
      </c>
      <c r="AD90" s="8" t="b">
        <v>1</v>
      </c>
      <c r="AE90" s="4" t="s">
        <v>476</v>
      </c>
    </row>
    <row r="91" spans="1:31">
      <c r="A91" s="4" t="s">
        <v>477</v>
      </c>
      <c r="B91" s="4" t="s">
        <v>267</v>
      </c>
      <c r="C91" s="4" t="s">
        <v>267</v>
      </c>
      <c r="D91" s="4" t="s">
        <v>266</v>
      </c>
      <c r="E91" s="4" t="s">
        <v>79</v>
      </c>
      <c r="F91" s="4">
        <v>0</v>
      </c>
      <c r="G91" s="4">
        <v>1</v>
      </c>
      <c r="H91" s="4">
        <v>1</v>
      </c>
      <c r="I91" s="14">
        <v>8.1352089999999997</v>
      </c>
      <c r="J91" s="14">
        <v>60.064326999999999</v>
      </c>
      <c r="K91" s="14">
        <v>168</v>
      </c>
      <c r="L91" s="14">
        <v>5.8906E-2</v>
      </c>
      <c r="M91" s="14">
        <v>423.13</v>
      </c>
      <c r="N91" s="14">
        <v>157.97447204589844</v>
      </c>
      <c r="O91" s="14">
        <v>115.64620971679688</v>
      </c>
      <c r="P91" s="23">
        <v>14378.221695706248</v>
      </c>
      <c r="Q91" s="14">
        <v>442.60724639892578</v>
      </c>
      <c r="R91" s="14">
        <v>1.3660151286649012</v>
      </c>
      <c r="S91" s="14">
        <v>0.68124412150742863</v>
      </c>
      <c r="T91" s="14">
        <v>1</v>
      </c>
      <c r="U91" s="14">
        <v>16.470819473266602</v>
      </c>
      <c r="V91" s="14">
        <v>14378.221695706248</v>
      </c>
      <c r="W91" s="14">
        <v>135.30306887111712</v>
      </c>
      <c r="X91" s="14">
        <v>0.92231229856083541</v>
      </c>
      <c r="Y91" s="14">
        <v>3453.9925630104422</v>
      </c>
      <c r="Z91" s="14">
        <v>498.30967813339248</v>
      </c>
      <c r="AA91" s="14" t="s">
        <v>85</v>
      </c>
      <c r="AB91" s="4" t="s">
        <v>312</v>
      </c>
      <c r="AC91" s="4" t="s">
        <v>313</v>
      </c>
      <c r="AD91" s="8" t="b">
        <v>1</v>
      </c>
      <c r="AE91" s="4" t="s">
        <v>478</v>
      </c>
    </row>
    <row r="92" spans="1:31">
      <c r="A92" s="4" t="s">
        <v>479</v>
      </c>
      <c r="B92" s="4" t="s">
        <v>267</v>
      </c>
      <c r="C92" s="4" t="s">
        <v>267</v>
      </c>
      <c r="D92" s="4" t="s">
        <v>266</v>
      </c>
      <c r="E92" s="4" t="s">
        <v>79</v>
      </c>
      <c r="F92" s="4">
        <v>0</v>
      </c>
      <c r="G92" s="4">
        <v>2</v>
      </c>
      <c r="H92" s="4">
        <v>2</v>
      </c>
      <c r="I92" s="14">
        <v>8.0628270000000004</v>
      </c>
      <c r="J92" s="14">
        <v>42.80471</v>
      </c>
      <c r="K92" s="14">
        <v>174</v>
      </c>
      <c r="L92" s="14">
        <v>2.2304999999999998E-2</v>
      </c>
      <c r="M92" s="14">
        <v>85.92</v>
      </c>
      <c r="N92" s="14">
        <v>171.46746826171875</v>
      </c>
      <c r="O92" s="14">
        <v>111.06388092041016</v>
      </c>
      <c r="P92" s="23">
        <v>14970.543068438768</v>
      </c>
      <c r="Q92" s="14">
        <v>489.48726463317871</v>
      </c>
      <c r="R92" s="14">
        <v>1.5438634670491536</v>
      </c>
      <c r="S92" s="14">
        <v>0.76187364781438449</v>
      </c>
      <c r="T92" s="14">
        <v>0.99991813521888095</v>
      </c>
      <c r="U92" s="14">
        <v>70.569869995117188</v>
      </c>
      <c r="V92" s="14">
        <v>14971.768729008734</v>
      </c>
      <c r="W92" s="14">
        <v>138.06189713638273</v>
      </c>
      <c r="X92" s="14">
        <v>0.78517167704540913</v>
      </c>
      <c r="Y92" s="14">
        <v>667.80431318206502</v>
      </c>
      <c r="Z92" s="14">
        <v>3805.1682368078696</v>
      </c>
      <c r="AA92" s="14" t="s">
        <v>85</v>
      </c>
      <c r="AB92" s="4" t="s">
        <v>312</v>
      </c>
      <c r="AC92" s="4" t="s">
        <v>313</v>
      </c>
      <c r="AD92" s="8" t="b">
        <v>1</v>
      </c>
      <c r="AE92" s="4" t="s">
        <v>480</v>
      </c>
    </row>
    <row r="93" spans="1:31">
      <c r="A93" s="5" t="s">
        <v>481</v>
      </c>
      <c r="B93" s="5" t="s">
        <v>267</v>
      </c>
      <c r="C93" s="5" t="s">
        <v>267</v>
      </c>
      <c r="D93" s="5" t="s">
        <v>266</v>
      </c>
      <c r="E93" s="5" t="s">
        <v>79</v>
      </c>
      <c r="F93" s="5">
        <v>0</v>
      </c>
      <c r="G93" s="5">
        <v>3</v>
      </c>
      <c r="H93" s="5">
        <v>3</v>
      </c>
      <c r="I93" s="15">
        <v>8.0159909999999996</v>
      </c>
      <c r="J93" s="15">
        <v>52.361237000000003</v>
      </c>
      <c r="K93" s="15">
        <v>163</v>
      </c>
      <c r="L93" s="15">
        <v>1.2031E-2</v>
      </c>
      <c r="M93" s="15">
        <v>1523.14</v>
      </c>
      <c r="N93" s="15">
        <v>132.78071594238281</v>
      </c>
      <c r="O93" s="15">
        <v>111.60753631591797</v>
      </c>
      <c r="P93" s="24">
        <v>10320.280493050814</v>
      </c>
      <c r="Q93" s="15">
        <v>413.94548416137695</v>
      </c>
      <c r="R93" s="15">
        <v>1.1897110206476713</v>
      </c>
      <c r="S93" s="15">
        <v>0.54174909905365232</v>
      </c>
      <c r="T93" s="15">
        <v>0.92523061785321314</v>
      </c>
      <c r="U93" s="15">
        <v>139.66065216064453</v>
      </c>
      <c r="V93" s="15">
        <v>11154.279045581818</v>
      </c>
      <c r="W93" s="15">
        <v>114.63066446859321</v>
      </c>
      <c r="X93" s="15">
        <v>0.75685915203553999</v>
      </c>
      <c r="Y93" s="15">
        <v>4385.8313062400985</v>
      </c>
      <c r="Z93" s="15">
        <v>1825.1868999457445</v>
      </c>
      <c r="AA93" s="15" t="s">
        <v>85</v>
      </c>
      <c r="AB93" s="5" t="s">
        <v>312</v>
      </c>
      <c r="AC93" s="5" t="s">
        <v>313</v>
      </c>
      <c r="AD93" s="9" t="b">
        <v>1</v>
      </c>
      <c r="AE93" s="5" t="s">
        <v>482</v>
      </c>
    </row>
  </sheetData>
  <mergeCells count="1">
    <mergeCell ref="A1:L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41"/>
  <sheetViews>
    <sheetView showGridLines="0" workbookViewId="0">
      <selection activeCell="E34" sqref="E34"/>
    </sheetView>
  </sheetViews>
  <sheetFormatPr baseColWidth="10" defaultColWidth="8.83203125" defaultRowHeight="14"/>
  <cols>
    <col min="1" max="3" width="18" customWidth="1"/>
    <col min="4" max="7" width="15" customWidth="1"/>
    <col min="8" max="17" width="14" customWidth="1"/>
    <col min="18" max="23" width="15" customWidth="1"/>
    <col min="24" max="28" width="14" customWidth="1"/>
    <col min="29" max="29" width="3" customWidth="1"/>
    <col min="30" max="39" width="11" customWidth="1"/>
  </cols>
  <sheetData>
    <row r="1" spans="1:29" ht="28" customHeight="1">
      <c r="A1" s="36" t="s">
        <v>483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</row>
    <row r="2" spans="1:29" ht="12" customHeigh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</row>
    <row r="4" spans="1:29" ht="35" customHeight="1">
      <c r="A4" s="6" t="s">
        <v>36</v>
      </c>
      <c r="B4" s="6" t="s">
        <v>484</v>
      </c>
      <c r="C4" s="6" t="s">
        <v>485</v>
      </c>
      <c r="D4" s="6" t="s">
        <v>486</v>
      </c>
      <c r="E4" s="6" t="s">
        <v>487</v>
      </c>
      <c r="F4" s="6" t="s">
        <v>488</v>
      </c>
      <c r="G4" s="6" t="s">
        <v>489</v>
      </c>
      <c r="H4" s="6" t="s">
        <v>490</v>
      </c>
      <c r="I4" s="6" t="s">
        <v>491</v>
      </c>
      <c r="J4" s="6" t="s">
        <v>492</v>
      </c>
      <c r="K4" s="6" t="s">
        <v>306</v>
      </c>
      <c r="L4" s="6" t="s">
        <v>493</v>
      </c>
      <c r="M4" s="6" t="s">
        <v>494</v>
      </c>
      <c r="N4" s="6" t="s">
        <v>495</v>
      </c>
      <c r="O4" s="6" t="s">
        <v>496</v>
      </c>
      <c r="P4" s="6" t="s">
        <v>497</v>
      </c>
      <c r="Q4" s="6" t="s">
        <v>498</v>
      </c>
      <c r="R4" s="6" t="s">
        <v>499</v>
      </c>
      <c r="S4" s="6" t="s">
        <v>500</v>
      </c>
      <c r="T4" s="6" t="s">
        <v>501</v>
      </c>
      <c r="U4" s="6" t="s">
        <v>502</v>
      </c>
      <c r="V4" s="6" t="s">
        <v>503</v>
      </c>
      <c r="W4" s="6" t="s">
        <v>504</v>
      </c>
      <c r="X4" s="6" t="s">
        <v>505</v>
      </c>
      <c r="Y4" s="6" t="s">
        <v>506</v>
      </c>
      <c r="Z4" s="6" t="s">
        <v>507</v>
      </c>
      <c r="AA4" s="6" t="s">
        <v>508</v>
      </c>
      <c r="AB4" s="2" t="s">
        <v>509</v>
      </c>
    </row>
    <row r="5" spans="1:29">
      <c r="A5" s="3" t="s">
        <v>76</v>
      </c>
      <c r="B5" s="3" t="s">
        <v>86</v>
      </c>
      <c r="C5" s="3" t="s">
        <v>75</v>
      </c>
      <c r="D5" s="22">
        <v>5641.2696517929435</v>
      </c>
      <c r="E5" s="22">
        <v>7280.0297945216298</v>
      </c>
      <c r="F5" s="22">
        <v>6460.6497231572866</v>
      </c>
      <c r="G5" s="22">
        <v>1638.7601427286863</v>
      </c>
      <c r="H5" s="3">
        <v>2</v>
      </c>
      <c r="I5" s="3">
        <v>3</v>
      </c>
      <c r="J5" s="7" t="b">
        <v>1</v>
      </c>
      <c r="K5" s="3" t="s">
        <v>85</v>
      </c>
      <c r="L5" s="13">
        <v>23.446142850544295</v>
      </c>
      <c r="M5" s="13">
        <v>25.538009799131377</v>
      </c>
      <c r="N5" s="13">
        <v>2.0918669485870822</v>
      </c>
      <c r="O5" s="13">
        <v>-1.5538571494557054</v>
      </c>
      <c r="P5" s="13">
        <v>0.53800979913137681</v>
      </c>
      <c r="Q5" s="13">
        <v>2.0918669485870822</v>
      </c>
      <c r="R5" s="16">
        <v>158443</v>
      </c>
      <c r="S5" s="16">
        <v>12039</v>
      </c>
      <c r="T5" s="16">
        <v>-146404</v>
      </c>
      <c r="U5" s="19">
        <v>0.51576497395833332</v>
      </c>
      <c r="V5" s="19">
        <v>3.9189453125000002E-2</v>
      </c>
      <c r="W5" s="19">
        <v>-0.47657552083333332</v>
      </c>
      <c r="X5" s="7" t="b">
        <v>0</v>
      </c>
      <c r="Y5" s="7" t="b">
        <v>1</v>
      </c>
      <c r="Z5" s="3" t="b">
        <f t="shared" ref="Z5:Z20" si="0">AND(X5,Y5)</f>
        <v>0</v>
      </c>
      <c r="AA5" s="13" t="str">
        <f t="shared" ref="AA5:AA20" si="1">IF(Z5,N5,"")</f>
        <v/>
      </c>
      <c r="AB5" s="16" t="str">
        <f t="shared" ref="AB5:AB20" si="2">IF(Z5,T5,"")</f>
        <v/>
      </c>
    </row>
    <row r="6" spans="1:29">
      <c r="A6" s="4" t="s">
        <v>96</v>
      </c>
      <c r="B6" s="4" t="s">
        <v>101</v>
      </c>
      <c r="C6" s="4" t="s">
        <v>95</v>
      </c>
      <c r="D6" s="23">
        <v>13435.520220736662</v>
      </c>
      <c r="E6" s="23">
        <v>9400.881662572423</v>
      </c>
      <c r="F6" s="23">
        <v>11418.200941654542</v>
      </c>
      <c r="G6" s="23">
        <v>-4034.6385581642389</v>
      </c>
      <c r="H6" s="4">
        <v>3</v>
      </c>
      <c r="I6" s="4">
        <v>3</v>
      </c>
      <c r="J6" s="8" t="b">
        <v>1</v>
      </c>
      <c r="K6" s="4" t="s">
        <v>85</v>
      </c>
      <c r="L6" s="14">
        <v>26.327707804545426</v>
      </c>
      <c r="M6" s="14">
        <v>25.05125721033199</v>
      </c>
      <c r="N6" s="14">
        <v>-1.2764505942134363</v>
      </c>
      <c r="O6" s="14">
        <v>1.327707804545426</v>
      </c>
      <c r="P6" s="14">
        <v>5.1257210331989711E-2</v>
      </c>
      <c r="Q6" s="14">
        <v>-1.2764505942134363</v>
      </c>
      <c r="R6" s="17">
        <v>4348</v>
      </c>
      <c r="S6" s="17">
        <v>5927</v>
      </c>
      <c r="T6" s="17">
        <v>1579</v>
      </c>
      <c r="U6" s="20">
        <v>1.4153645833333334E-2</v>
      </c>
      <c r="V6" s="20">
        <v>1.9293619791666668E-2</v>
      </c>
      <c r="W6" s="20">
        <v>5.1399739583333336E-3</v>
      </c>
      <c r="X6" s="8" t="b">
        <v>1</v>
      </c>
      <c r="Y6" s="8" t="b">
        <v>1</v>
      </c>
      <c r="Z6" s="4" t="b">
        <f t="shared" si="0"/>
        <v>1</v>
      </c>
      <c r="AA6" s="14">
        <f t="shared" si="1"/>
        <v>-1.2764505942134363</v>
      </c>
      <c r="AB6" s="17">
        <f t="shared" si="2"/>
        <v>1579</v>
      </c>
    </row>
    <row r="7" spans="1:29">
      <c r="A7" s="4" t="s">
        <v>108</v>
      </c>
      <c r="B7" s="4" t="s">
        <v>113</v>
      </c>
      <c r="C7" s="4" t="s">
        <v>107</v>
      </c>
      <c r="D7" s="23">
        <v>10477.076933714328</v>
      </c>
      <c r="E7" s="23">
        <v>8927.5513094297294</v>
      </c>
      <c r="F7" s="23">
        <v>9702.3141215720279</v>
      </c>
      <c r="G7" s="23">
        <v>-1549.525624284599</v>
      </c>
      <c r="H7" s="4">
        <v>3</v>
      </c>
      <c r="I7" s="4">
        <v>3</v>
      </c>
      <c r="J7" s="8" t="b">
        <v>1</v>
      </c>
      <c r="K7" s="4" t="s">
        <v>85</v>
      </c>
      <c r="L7" s="14">
        <v>26.232168738435153</v>
      </c>
      <c r="M7" s="14">
        <v>26.180443419545441</v>
      </c>
      <c r="N7" s="14">
        <v>-5.1725318889712213E-2</v>
      </c>
      <c r="O7" s="14">
        <v>1.2321687384351527</v>
      </c>
      <c r="P7" s="14">
        <v>1.1804434195454405</v>
      </c>
      <c r="Q7" s="14">
        <v>-5.1725318889712213E-2</v>
      </c>
      <c r="R7" s="17">
        <v>5619</v>
      </c>
      <c r="S7" s="17">
        <v>8739</v>
      </c>
      <c r="T7" s="17">
        <v>3120</v>
      </c>
      <c r="U7" s="20">
        <v>1.8291015625E-2</v>
      </c>
      <c r="V7" s="20">
        <v>2.8447265624999999E-2</v>
      </c>
      <c r="W7" s="20">
        <v>1.0156249999999999E-2</v>
      </c>
      <c r="X7" s="8" t="b">
        <v>1</v>
      </c>
      <c r="Y7" s="8" t="b">
        <v>1</v>
      </c>
      <c r="Z7" s="4" t="b">
        <f t="shared" si="0"/>
        <v>1</v>
      </c>
      <c r="AA7" s="14">
        <f t="shared" si="1"/>
        <v>-5.1725318889712213E-2</v>
      </c>
      <c r="AB7" s="17">
        <f t="shared" si="2"/>
        <v>3120</v>
      </c>
    </row>
    <row r="8" spans="1:29">
      <c r="A8" s="4" t="s">
        <v>120</v>
      </c>
      <c r="B8" s="4" t="s">
        <v>125</v>
      </c>
      <c r="C8" s="4" t="s">
        <v>119</v>
      </c>
      <c r="D8" s="23">
        <v>12299.127460382879</v>
      </c>
      <c r="E8" s="23">
        <v>11187.912456390759</v>
      </c>
      <c r="F8" s="23">
        <v>11743.51995838682</v>
      </c>
      <c r="G8" s="23">
        <v>-1111.2150039921198</v>
      </c>
      <c r="H8" s="4">
        <v>2</v>
      </c>
      <c r="I8" s="4">
        <v>3</v>
      </c>
      <c r="J8" s="8" t="b">
        <v>1</v>
      </c>
      <c r="K8" s="4" t="s">
        <v>85</v>
      </c>
      <c r="L8" s="14">
        <v>25.370568224584765</v>
      </c>
      <c r="M8" s="14">
        <v>25.035619074755193</v>
      </c>
      <c r="N8" s="14">
        <v>-0.33494914982957269</v>
      </c>
      <c r="O8" s="14">
        <v>0.37056822458476546</v>
      </c>
      <c r="P8" s="14">
        <v>3.561907475519277E-2</v>
      </c>
      <c r="Q8" s="14">
        <v>-0.33494914982957269</v>
      </c>
      <c r="R8" s="17">
        <v>5583</v>
      </c>
      <c r="S8" s="17">
        <v>8257</v>
      </c>
      <c r="T8" s="17">
        <v>2674</v>
      </c>
      <c r="U8" s="20">
        <v>1.8173828124999999E-2</v>
      </c>
      <c r="V8" s="20">
        <v>2.6878255208333333E-2</v>
      </c>
      <c r="W8" s="20">
        <v>8.704427083333334E-3</v>
      </c>
      <c r="X8" s="8" t="b">
        <v>1</v>
      </c>
      <c r="Y8" s="8" t="b">
        <v>1</v>
      </c>
      <c r="Z8" s="4" t="b">
        <f t="shared" si="0"/>
        <v>1</v>
      </c>
      <c r="AA8" s="14">
        <f t="shared" si="1"/>
        <v>-0.33494914982957269</v>
      </c>
      <c r="AB8" s="17">
        <f t="shared" si="2"/>
        <v>2674</v>
      </c>
    </row>
    <row r="9" spans="1:29">
      <c r="A9" s="4" t="s">
        <v>132</v>
      </c>
      <c r="B9" s="4" t="s">
        <v>137</v>
      </c>
      <c r="C9" s="4" t="s">
        <v>131</v>
      </c>
      <c r="D9" s="23">
        <v>11856.759673804045</v>
      </c>
      <c r="E9" s="23">
        <v>9229.5131443962455</v>
      </c>
      <c r="F9" s="23">
        <v>10543.136409100145</v>
      </c>
      <c r="G9" s="23">
        <v>-2627.2465294077992</v>
      </c>
      <c r="H9" s="4">
        <v>2</v>
      </c>
      <c r="I9" s="4">
        <v>2</v>
      </c>
      <c r="J9" s="8" t="b">
        <v>1</v>
      </c>
      <c r="K9" s="4" t="s">
        <v>85</v>
      </c>
      <c r="L9" s="14">
        <v>26.582684310236822</v>
      </c>
      <c r="M9" s="14">
        <v>25.710670969367822</v>
      </c>
      <c r="N9" s="14">
        <v>-0.87201334086899962</v>
      </c>
      <c r="O9" s="14">
        <v>1.5826843102368215</v>
      </c>
      <c r="P9" s="14">
        <v>0.71067096936782193</v>
      </c>
      <c r="Q9" s="14">
        <v>-0.87201334086899962</v>
      </c>
      <c r="R9" s="17">
        <v>7157</v>
      </c>
      <c r="S9" s="17">
        <v>9232</v>
      </c>
      <c r="T9" s="17">
        <v>2075</v>
      </c>
      <c r="U9" s="20">
        <v>2.3297526041666666E-2</v>
      </c>
      <c r="V9" s="20">
        <v>3.0052083333333333E-2</v>
      </c>
      <c r="W9" s="20">
        <v>6.7545572916666678E-3</v>
      </c>
      <c r="X9" s="8" t="b">
        <v>1</v>
      </c>
      <c r="Y9" s="8" t="b">
        <v>1</v>
      </c>
      <c r="Z9" s="4" t="b">
        <f t="shared" si="0"/>
        <v>1</v>
      </c>
      <c r="AA9" s="14">
        <f t="shared" si="1"/>
        <v>-0.87201334086899962</v>
      </c>
      <c r="AB9" s="17">
        <f t="shared" si="2"/>
        <v>2075</v>
      </c>
    </row>
    <row r="10" spans="1:29">
      <c r="A10" s="4" t="s">
        <v>144</v>
      </c>
      <c r="B10" s="4" t="s">
        <v>149</v>
      </c>
      <c r="C10" s="4" t="s">
        <v>143</v>
      </c>
      <c r="D10" s="23">
        <v>9363.3859320630636</v>
      </c>
      <c r="E10" s="23">
        <v>6655.8525158055127</v>
      </c>
      <c r="F10" s="23">
        <v>8009.6192239342881</v>
      </c>
      <c r="G10" s="23">
        <v>-2707.5334162575509</v>
      </c>
      <c r="H10" s="4">
        <v>3</v>
      </c>
      <c r="I10" s="4">
        <v>3</v>
      </c>
      <c r="J10" s="8" t="b">
        <v>1</v>
      </c>
      <c r="K10" s="4" t="s">
        <v>85</v>
      </c>
      <c r="L10" s="14">
        <v>26.382624366778394</v>
      </c>
      <c r="M10" s="14">
        <v>26.297341671872658</v>
      </c>
      <c r="N10" s="14">
        <v>-8.5282694905735923E-2</v>
      </c>
      <c r="O10" s="14">
        <v>1.3826243667783942</v>
      </c>
      <c r="P10" s="14">
        <v>1.2973416718726583</v>
      </c>
      <c r="Q10" s="14">
        <v>-8.5282694905735923E-2</v>
      </c>
      <c r="R10" s="17">
        <v>6486</v>
      </c>
      <c r="S10" s="17">
        <v>9989</v>
      </c>
      <c r="T10" s="17">
        <v>3503</v>
      </c>
      <c r="U10" s="20">
        <v>2.1113281250000001E-2</v>
      </c>
      <c r="V10" s="20">
        <v>3.2516276041666667E-2</v>
      </c>
      <c r="W10" s="20">
        <v>1.1402994791666666E-2</v>
      </c>
      <c r="X10" s="8" t="b">
        <v>1</v>
      </c>
      <c r="Y10" s="8" t="b">
        <v>1</v>
      </c>
      <c r="Z10" s="4" t="b">
        <f t="shared" si="0"/>
        <v>1</v>
      </c>
      <c r="AA10" s="14">
        <f t="shared" si="1"/>
        <v>-8.5282694905735923E-2</v>
      </c>
      <c r="AB10" s="17">
        <f t="shared" si="2"/>
        <v>3503</v>
      </c>
    </row>
    <row r="11" spans="1:29">
      <c r="A11" s="4" t="s">
        <v>156</v>
      </c>
      <c r="B11" s="4" t="s">
        <v>161</v>
      </c>
      <c r="C11" s="4" t="s">
        <v>155</v>
      </c>
      <c r="D11" s="23">
        <v>6752.6597863786546</v>
      </c>
      <c r="E11" s="23">
        <v>11382.915868914375</v>
      </c>
      <c r="F11" s="23">
        <v>9067.7878276465144</v>
      </c>
      <c r="G11" s="23">
        <v>4630.2560825357205</v>
      </c>
      <c r="H11" s="4">
        <v>3</v>
      </c>
      <c r="I11" s="4">
        <v>3</v>
      </c>
      <c r="J11" s="8" t="b">
        <v>1</v>
      </c>
      <c r="K11" s="4" t="s">
        <v>85</v>
      </c>
      <c r="L11" s="14">
        <v>26.235427036682271</v>
      </c>
      <c r="M11" s="14">
        <v>26.247659986897318</v>
      </c>
      <c r="N11" s="14">
        <v>1.2232950215047111E-2</v>
      </c>
      <c r="O11" s="14">
        <v>1.2354270366822711</v>
      </c>
      <c r="P11" s="14">
        <v>1.2476599868973182</v>
      </c>
      <c r="Q11" s="14">
        <v>1.2232950215047111E-2</v>
      </c>
      <c r="R11" s="17">
        <v>4859</v>
      </c>
      <c r="S11" s="17">
        <v>6934</v>
      </c>
      <c r="T11" s="17">
        <v>2075</v>
      </c>
      <c r="U11" s="20">
        <v>1.5817057291666665E-2</v>
      </c>
      <c r="V11" s="20">
        <v>2.2571614583333333E-2</v>
      </c>
      <c r="W11" s="20">
        <v>6.7545572916666678E-3</v>
      </c>
      <c r="X11" s="8" t="b">
        <v>1</v>
      </c>
      <c r="Y11" s="8" t="b">
        <v>1</v>
      </c>
      <c r="Z11" s="4" t="b">
        <f t="shared" si="0"/>
        <v>1</v>
      </c>
      <c r="AA11" s="14">
        <f t="shared" si="1"/>
        <v>1.2232950215047111E-2</v>
      </c>
      <c r="AB11" s="17">
        <f t="shared" si="2"/>
        <v>2075</v>
      </c>
    </row>
    <row r="12" spans="1:29">
      <c r="A12" s="4" t="s">
        <v>168</v>
      </c>
      <c r="B12" s="4" t="s">
        <v>174</v>
      </c>
      <c r="C12" s="4" t="s">
        <v>167</v>
      </c>
      <c r="D12" s="23">
        <v>14992.607986792922</v>
      </c>
      <c r="E12" s="23">
        <v>10230.201212704182</v>
      </c>
      <c r="F12" s="23">
        <v>12611.404599748552</v>
      </c>
      <c r="G12" s="23">
        <v>-4762.4067740887403</v>
      </c>
      <c r="H12" s="4">
        <v>3</v>
      </c>
      <c r="I12" s="4">
        <v>2</v>
      </c>
      <c r="J12" s="8" t="b">
        <v>1</v>
      </c>
      <c r="K12" s="4" t="s">
        <v>85</v>
      </c>
      <c r="L12" s="14">
        <v>26.771506846634633</v>
      </c>
      <c r="M12" s="14">
        <v>25.671059665781858</v>
      </c>
      <c r="N12" s="14">
        <v>-1.1004471808527754</v>
      </c>
      <c r="O12" s="14">
        <v>1.7715068466346331</v>
      </c>
      <c r="P12" s="14">
        <v>0.67105966578185772</v>
      </c>
      <c r="Q12" s="14">
        <v>-1.1004471808527754</v>
      </c>
      <c r="R12" s="17">
        <v>10309</v>
      </c>
      <c r="S12" s="17">
        <v>7754</v>
      </c>
      <c r="T12" s="17">
        <v>-2555</v>
      </c>
      <c r="U12" s="20">
        <v>3.3557942708333337E-2</v>
      </c>
      <c r="V12" s="20">
        <v>2.5240885416666668E-2</v>
      </c>
      <c r="W12" s="20">
        <v>-8.3170572916666692E-3</v>
      </c>
      <c r="X12" s="8" t="b">
        <v>1</v>
      </c>
      <c r="Y12" s="8" t="b">
        <v>1</v>
      </c>
      <c r="Z12" s="4" t="b">
        <f t="shared" si="0"/>
        <v>1</v>
      </c>
      <c r="AA12" s="14">
        <f t="shared" si="1"/>
        <v>-1.1004471808527754</v>
      </c>
      <c r="AB12" s="17">
        <f t="shared" si="2"/>
        <v>-2555</v>
      </c>
    </row>
    <row r="13" spans="1:29">
      <c r="A13" s="4" t="s">
        <v>181</v>
      </c>
      <c r="B13" s="4" t="s">
        <v>186</v>
      </c>
      <c r="C13" s="4" t="s">
        <v>180</v>
      </c>
      <c r="D13" s="23">
        <v>13669.80415498217</v>
      </c>
      <c r="E13" s="23">
        <v>11651.688354227692</v>
      </c>
      <c r="F13" s="23">
        <v>12660.746254604932</v>
      </c>
      <c r="G13" s="23">
        <v>-2018.1158007544782</v>
      </c>
      <c r="H13" s="4">
        <v>3</v>
      </c>
      <c r="I13" s="4">
        <v>3</v>
      </c>
      <c r="J13" s="8" t="b">
        <v>1</v>
      </c>
      <c r="K13" s="4" t="s">
        <v>85</v>
      </c>
      <c r="L13" s="14">
        <v>25.867037632293229</v>
      </c>
      <c r="M13" s="14">
        <v>25.613818976311848</v>
      </c>
      <c r="N13" s="14">
        <v>-0.2532186559813816</v>
      </c>
      <c r="O13" s="14">
        <v>0.86703763229322917</v>
      </c>
      <c r="P13" s="14">
        <v>0.61381897631184756</v>
      </c>
      <c r="Q13" s="14">
        <v>-0.2532186559813816</v>
      </c>
      <c r="R13" s="17">
        <v>6003</v>
      </c>
      <c r="S13" s="17">
        <v>10107</v>
      </c>
      <c r="T13" s="17">
        <v>4104</v>
      </c>
      <c r="U13" s="20">
        <v>1.9541015625000002E-2</v>
      </c>
      <c r="V13" s="20">
        <v>3.2900390624999998E-2</v>
      </c>
      <c r="W13" s="20">
        <v>1.3359374999999996E-2</v>
      </c>
      <c r="X13" s="8" t="b">
        <v>1</v>
      </c>
      <c r="Y13" s="8" t="b">
        <v>1</v>
      </c>
      <c r="Z13" s="4" t="b">
        <f t="shared" si="0"/>
        <v>1</v>
      </c>
      <c r="AA13" s="14">
        <f t="shared" si="1"/>
        <v>-0.2532186559813816</v>
      </c>
      <c r="AB13" s="17">
        <f t="shared" si="2"/>
        <v>4104</v>
      </c>
    </row>
    <row r="14" spans="1:29">
      <c r="A14" s="4" t="s">
        <v>193</v>
      </c>
      <c r="B14" s="4" t="s">
        <v>198</v>
      </c>
      <c r="C14" s="4" t="s">
        <v>192</v>
      </c>
      <c r="D14" s="23">
        <v>10004.817087389529</v>
      </c>
      <c r="E14" s="23">
        <v>9574.0217822790146</v>
      </c>
      <c r="F14" s="23">
        <v>9789.4194348342717</v>
      </c>
      <c r="G14" s="23">
        <v>-430.79530511051416</v>
      </c>
      <c r="H14" s="4">
        <v>2</v>
      </c>
      <c r="I14" s="4">
        <v>2</v>
      </c>
      <c r="J14" s="8" t="b">
        <v>1</v>
      </c>
      <c r="K14" s="4" t="s">
        <v>85</v>
      </c>
      <c r="L14" s="14">
        <v>25.71048394974644</v>
      </c>
      <c r="M14" s="14">
        <v>26.069174707918492</v>
      </c>
      <c r="N14" s="14">
        <v>0.35869075817205243</v>
      </c>
      <c r="O14" s="14">
        <v>0.71048394974643969</v>
      </c>
      <c r="P14" s="14">
        <v>1.0691747079184921</v>
      </c>
      <c r="Q14" s="14">
        <v>0.35869075817205243</v>
      </c>
      <c r="R14" s="17">
        <v>6432</v>
      </c>
      <c r="S14" s="17">
        <v>11522</v>
      </c>
      <c r="T14" s="17">
        <v>5090</v>
      </c>
      <c r="U14" s="20">
        <v>2.0937500000000001E-2</v>
      </c>
      <c r="V14" s="20">
        <v>3.7506510416666666E-2</v>
      </c>
      <c r="W14" s="20">
        <v>1.6569010416666665E-2</v>
      </c>
      <c r="X14" s="8" t="b">
        <v>1</v>
      </c>
      <c r="Y14" s="8" t="b">
        <v>1</v>
      </c>
      <c r="Z14" s="4" t="b">
        <f t="shared" si="0"/>
        <v>1</v>
      </c>
      <c r="AA14" s="14">
        <f t="shared" si="1"/>
        <v>0.35869075817205243</v>
      </c>
      <c r="AB14" s="17">
        <f t="shared" si="2"/>
        <v>5090</v>
      </c>
    </row>
    <row r="15" spans="1:29">
      <c r="A15" s="4" t="s">
        <v>205</v>
      </c>
      <c r="B15" s="4" t="s">
        <v>210</v>
      </c>
      <c r="C15" s="4" t="s">
        <v>204</v>
      </c>
      <c r="D15" s="23">
        <v>10268.51840172708</v>
      </c>
      <c r="E15" s="23">
        <v>17451.377138540149</v>
      </c>
      <c r="F15" s="23">
        <v>13859.947770133615</v>
      </c>
      <c r="G15" s="23">
        <v>7182.8587368130684</v>
      </c>
      <c r="H15" s="4">
        <v>2</v>
      </c>
      <c r="I15" s="4">
        <v>2</v>
      </c>
      <c r="J15" s="8" t="b">
        <v>1</v>
      </c>
      <c r="K15" s="4" t="s">
        <v>85</v>
      </c>
      <c r="L15" s="14">
        <v>25.773783262747813</v>
      </c>
      <c r="M15" s="14">
        <v>25.886769921969318</v>
      </c>
      <c r="N15" s="14">
        <v>0.11298665922150519</v>
      </c>
      <c r="O15" s="14">
        <v>0.77378326274781273</v>
      </c>
      <c r="P15" s="14">
        <v>0.88676992196931792</v>
      </c>
      <c r="Q15" s="14">
        <v>0.11298665922150519</v>
      </c>
      <c r="R15" s="17">
        <v>4703</v>
      </c>
      <c r="S15" s="17">
        <v>10436</v>
      </c>
      <c r="T15" s="17">
        <v>5733</v>
      </c>
      <c r="U15" s="20">
        <v>1.5309244791666666E-2</v>
      </c>
      <c r="V15" s="20">
        <v>3.3971354166666669E-2</v>
      </c>
      <c r="W15" s="20">
        <v>1.8662109375000003E-2</v>
      </c>
      <c r="X15" s="8" t="b">
        <v>1</v>
      </c>
      <c r="Y15" s="8" t="b">
        <v>1</v>
      </c>
      <c r="Z15" s="4" t="b">
        <f t="shared" si="0"/>
        <v>1</v>
      </c>
      <c r="AA15" s="14">
        <f t="shared" si="1"/>
        <v>0.11298665922150519</v>
      </c>
      <c r="AB15" s="17">
        <f t="shared" si="2"/>
        <v>5733</v>
      </c>
    </row>
    <row r="16" spans="1:29">
      <c r="A16" s="4" t="s">
        <v>217</v>
      </c>
      <c r="B16" s="4" t="s">
        <v>222</v>
      </c>
      <c r="C16" s="4" t="s">
        <v>216</v>
      </c>
      <c r="D16" s="23">
        <v>8891.908637970686</v>
      </c>
      <c r="E16" s="23">
        <v>12848.641767506799</v>
      </c>
      <c r="F16" s="23">
        <v>10870.275202738743</v>
      </c>
      <c r="G16" s="23">
        <v>3956.7331295361128</v>
      </c>
      <c r="H16" s="4">
        <v>3</v>
      </c>
      <c r="I16" s="4">
        <v>3</v>
      </c>
      <c r="J16" s="8" t="b">
        <v>1</v>
      </c>
      <c r="K16" s="4" t="s">
        <v>85</v>
      </c>
      <c r="L16" s="14">
        <v>25.271365666971679</v>
      </c>
      <c r="M16" s="14">
        <v>24.082171387903266</v>
      </c>
      <c r="N16" s="14">
        <v>-1.1891942790684134</v>
      </c>
      <c r="O16" s="14">
        <v>0.27136566697167908</v>
      </c>
      <c r="P16" s="14">
        <v>-0.91782861209673428</v>
      </c>
      <c r="Q16" s="14">
        <v>-1.1891942790684134</v>
      </c>
      <c r="R16" s="17">
        <v>4875</v>
      </c>
      <c r="S16" s="17">
        <v>234520</v>
      </c>
      <c r="T16" s="17">
        <v>229645</v>
      </c>
      <c r="U16" s="20">
        <v>1.5869140625E-2</v>
      </c>
      <c r="V16" s="20">
        <v>0.76341145833333335</v>
      </c>
      <c r="W16" s="20">
        <v>0.74754231770833335</v>
      </c>
      <c r="X16" s="8" t="b">
        <v>1</v>
      </c>
      <c r="Y16" s="8" t="b">
        <v>0</v>
      </c>
      <c r="Z16" s="4" t="b">
        <f t="shared" si="0"/>
        <v>0</v>
      </c>
      <c r="AA16" s="14" t="str">
        <f t="shared" si="1"/>
        <v/>
      </c>
      <c r="AB16" s="17" t="str">
        <f t="shared" si="2"/>
        <v/>
      </c>
    </row>
    <row r="17" spans="1:32">
      <c r="A17" s="4" t="s">
        <v>229</v>
      </c>
      <c r="B17" s="4" t="s">
        <v>234</v>
      </c>
      <c r="C17" s="4" t="s">
        <v>228</v>
      </c>
      <c r="D17" s="23">
        <v>11072.469651607797</v>
      </c>
      <c r="E17" s="23">
        <v>9860.2547115435209</v>
      </c>
      <c r="F17" s="23">
        <v>10466.36218157566</v>
      </c>
      <c r="G17" s="23">
        <v>-1212.2149400642757</v>
      </c>
      <c r="H17" s="4">
        <v>3</v>
      </c>
      <c r="I17" s="4">
        <v>3</v>
      </c>
      <c r="J17" s="8" t="b">
        <v>1</v>
      </c>
      <c r="K17" s="4" t="s">
        <v>85</v>
      </c>
      <c r="L17" s="14">
        <v>26.066198888022619</v>
      </c>
      <c r="M17" s="14">
        <v>26.084708024553429</v>
      </c>
      <c r="N17" s="14">
        <v>1.8509136530809656E-2</v>
      </c>
      <c r="O17" s="14">
        <v>1.066198888022619</v>
      </c>
      <c r="P17" s="14">
        <v>1.0847080245534286</v>
      </c>
      <c r="Q17" s="14">
        <v>1.8509136530809656E-2</v>
      </c>
      <c r="R17" s="17">
        <v>5473</v>
      </c>
      <c r="S17" s="17">
        <v>5222</v>
      </c>
      <c r="T17" s="17">
        <v>-251</v>
      </c>
      <c r="U17" s="20">
        <v>1.7815755208333332E-2</v>
      </c>
      <c r="V17" s="20">
        <v>1.6998697916666666E-2</v>
      </c>
      <c r="W17" s="20">
        <v>-8.1705729166666602E-4</v>
      </c>
      <c r="X17" s="8" t="b">
        <v>1</v>
      </c>
      <c r="Y17" s="8" t="b">
        <v>1</v>
      </c>
      <c r="Z17" s="4" t="b">
        <f t="shared" si="0"/>
        <v>1</v>
      </c>
      <c r="AA17" s="14">
        <f t="shared" si="1"/>
        <v>1.8509136530809656E-2</v>
      </c>
      <c r="AB17" s="17">
        <f t="shared" si="2"/>
        <v>-251</v>
      </c>
    </row>
    <row r="18" spans="1:32">
      <c r="A18" s="4" t="s">
        <v>241</v>
      </c>
      <c r="B18" s="4" t="s">
        <v>247</v>
      </c>
      <c r="C18" s="4" t="s">
        <v>240</v>
      </c>
      <c r="D18" s="23">
        <v>11373.528651468456</v>
      </c>
      <c r="E18" s="23">
        <v>7561.3912971119089</v>
      </c>
      <c r="F18" s="23">
        <v>9467.4599742901828</v>
      </c>
      <c r="G18" s="23">
        <v>-3812.1373543565469</v>
      </c>
      <c r="H18" s="4">
        <v>2</v>
      </c>
      <c r="I18" s="4">
        <v>3</v>
      </c>
      <c r="J18" s="8" t="b">
        <v>1</v>
      </c>
      <c r="K18" s="4" t="s">
        <v>85</v>
      </c>
      <c r="L18" s="14">
        <v>26.308308604431787</v>
      </c>
      <c r="M18" s="14">
        <v>26.136908324035144</v>
      </c>
      <c r="N18" s="14">
        <v>-0.17140028039664301</v>
      </c>
      <c r="O18" s="14">
        <v>1.3083086044317866</v>
      </c>
      <c r="P18" s="14">
        <v>1.1369083240351436</v>
      </c>
      <c r="Q18" s="14">
        <v>-0.17140028039664301</v>
      </c>
      <c r="R18" s="17">
        <v>6948</v>
      </c>
      <c r="S18" s="17">
        <v>5262</v>
      </c>
      <c r="T18" s="17">
        <v>-1686</v>
      </c>
      <c r="U18" s="20">
        <v>2.26171875E-2</v>
      </c>
      <c r="V18" s="20">
        <v>1.7128906249999999E-2</v>
      </c>
      <c r="W18" s="20">
        <v>-5.488281250000001E-3</v>
      </c>
      <c r="X18" s="8" t="b">
        <v>1</v>
      </c>
      <c r="Y18" s="8" t="b">
        <v>1</v>
      </c>
      <c r="Z18" s="4" t="b">
        <f t="shared" si="0"/>
        <v>1</v>
      </c>
      <c r="AA18" s="14">
        <f t="shared" si="1"/>
        <v>-0.17140028039664301</v>
      </c>
      <c r="AB18" s="17">
        <f t="shared" si="2"/>
        <v>-1686</v>
      </c>
    </row>
    <row r="19" spans="1:32">
      <c r="A19" s="4" t="s">
        <v>254</v>
      </c>
      <c r="B19" s="4" t="s">
        <v>259</v>
      </c>
      <c r="C19" s="4" t="s">
        <v>253</v>
      </c>
      <c r="D19" s="23">
        <v>14027.556064224491</v>
      </c>
      <c r="E19" s="23">
        <v>6918.0359421297908</v>
      </c>
      <c r="F19" s="23">
        <v>10472.79600317714</v>
      </c>
      <c r="G19" s="23">
        <v>-7109.5201220947001</v>
      </c>
      <c r="H19" s="4">
        <v>3</v>
      </c>
      <c r="I19" s="4">
        <v>2</v>
      </c>
      <c r="J19" s="8" t="b">
        <v>1</v>
      </c>
      <c r="K19" s="4" t="s">
        <v>85</v>
      </c>
      <c r="L19" s="14">
        <v>25.749493013431067</v>
      </c>
      <c r="M19" s="14">
        <v>26.006031550721946</v>
      </c>
      <c r="N19" s="14">
        <v>0.25653853729087928</v>
      </c>
      <c r="O19" s="14">
        <v>0.74949301343106711</v>
      </c>
      <c r="P19" s="14">
        <v>1.0060315507219464</v>
      </c>
      <c r="Q19" s="14">
        <v>0.25653853729087928</v>
      </c>
      <c r="R19" s="17">
        <v>4430</v>
      </c>
      <c r="S19" s="17">
        <v>7873</v>
      </c>
      <c r="T19" s="17">
        <v>3443</v>
      </c>
      <c r="U19" s="20">
        <v>1.4420572916666667E-2</v>
      </c>
      <c r="V19" s="20">
        <v>2.5628255208333332E-2</v>
      </c>
      <c r="W19" s="20">
        <v>1.1207682291666665E-2</v>
      </c>
      <c r="X19" s="8" t="b">
        <v>1</v>
      </c>
      <c r="Y19" s="8" t="b">
        <v>1</v>
      </c>
      <c r="Z19" s="4" t="b">
        <f t="shared" si="0"/>
        <v>1</v>
      </c>
      <c r="AA19" s="14">
        <f t="shared" si="1"/>
        <v>0.25653853729087928</v>
      </c>
      <c r="AB19" s="17">
        <f t="shared" si="2"/>
        <v>3443</v>
      </c>
    </row>
    <row r="20" spans="1:32">
      <c r="A20" s="5" t="s">
        <v>266</v>
      </c>
      <c r="B20" s="5" t="s">
        <v>271</v>
      </c>
      <c r="C20" s="5" t="s">
        <v>265</v>
      </c>
      <c r="D20" s="24">
        <v>11369.347292803228</v>
      </c>
      <c r="E20" s="24">
        <v>13223.015085731944</v>
      </c>
      <c r="F20" s="24">
        <v>12296.181189267587</v>
      </c>
      <c r="G20" s="24">
        <v>1853.6677929287162</v>
      </c>
      <c r="H20" s="5">
        <v>3</v>
      </c>
      <c r="I20" s="5">
        <v>3</v>
      </c>
      <c r="J20" s="9" t="b">
        <v>1</v>
      </c>
      <c r="K20" s="5" t="s">
        <v>85</v>
      </c>
      <c r="L20" s="15">
        <v>25.343925762752562</v>
      </c>
      <c r="M20" s="15">
        <v>25.357424449202732</v>
      </c>
      <c r="N20" s="15">
        <v>1.3498686450169828E-2</v>
      </c>
      <c r="O20" s="15">
        <v>0.34392576275256204</v>
      </c>
      <c r="P20" s="15">
        <v>0.35742444920273186</v>
      </c>
      <c r="Q20" s="15">
        <v>1.3498686450169828E-2</v>
      </c>
      <c r="R20" s="18">
        <v>6137</v>
      </c>
      <c r="S20" s="18">
        <v>10466</v>
      </c>
      <c r="T20" s="18">
        <v>4329</v>
      </c>
      <c r="U20" s="21">
        <v>1.9977213541666667E-2</v>
      </c>
      <c r="V20" s="21">
        <v>3.4069010416666663E-2</v>
      </c>
      <c r="W20" s="21">
        <v>1.4091796874999996E-2</v>
      </c>
      <c r="X20" s="9" t="b">
        <v>1</v>
      </c>
      <c r="Y20" s="9" t="b">
        <v>1</v>
      </c>
      <c r="Z20" s="5" t="b">
        <f t="shared" si="0"/>
        <v>1</v>
      </c>
      <c r="AA20" s="15">
        <f t="shared" si="1"/>
        <v>1.3498686450169828E-2</v>
      </c>
      <c r="AB20" s="18">
        <f t="shared" si="2"/>
        <v>4329</v>
      </c>
    </row>
    <row r="25" spans="1:32">
      <c r="AD25" t="s">
        <v>510</v>
      </c>
      <c r="AE25" t="s">
        <v>511</v>
      </c>
      <c r="AF25" t="s">
        <v>512</v>
      </c>
    </row>
    <row r="26" spans="1:32">
      <c r="AD26" t="str">
        <f t="shared" ref="AD26:AD41" si="3">A5</f>
        <v>NC264G</v>
      </c>
      <c r="AE26">
        <f t="shared" ref="AE26:AE41" si="4">D5</f>
        <v>5641.2696517929435</v>
      </c>
      <c r="AF26">
        <f t="shared" ref="AF26:AF41" si="5">E5</f>
        <v>7280.0297945216298</v>
      </c>
    </row>
    <row r="27" spans="1:32">
      <c r="AD27" t="str">
        <f t="shared" si="3"/>
        <v>25203G</v>
      </c>
      <c r="AE27">
        <f t="shared" si="4"/>
        <v>13435.520220736662</v>
      </c>
      <c r="AF27">
        <f t="shared" si="5"/>
        <v>9400.881662572423</v>
      </c>
    </row>
    <row r="28" spans="1:32">
      <c r="AD28" t="str">
        <f t="shared" si="3"/>
        <v>25317G</v>
      </c>
      <c r="AE28">
        <f t="shared" si="4"/>
        <v>10477.076933714328</v>
      </c>
      <c r="AF28">
        <f t="shared" si="5"/>
        <v>8927.5513094297294</v>
      </c>
    </row>
    <row r="29" spans="1:32">
      <c r="AD29" t="str">
        <f t="shared" si="3"/>
        <v>26-016</v>
      </c>
      <c r="AE29">
        <f t="shared" si="4"/>
        <v>12299.127460382879</v>
      </c>
      <c r="AF29">
        <f t="shared" si="5"/>
        <v>11187.912456390759</v>
      </c>
    </row>
    <row r="30" spans="1:32">
      <c r="AD30" t="str">
        <f t="shared" si="3"/>
        <v>26-018</v>
      </c>
      <c r="AE30">
        <f t="shared" si="4"/>
        <v>11856.759673804045</v>
      </c>
      <c r="AF30">
        <f t="shared" si="5"/>
        <v>9229.5131443962455</v>
      </c>
    </row>
    <row r="31" spans="1:32">
      <c r="AD31" t="str">
        <f t="shared" si="3"/>
        <v>25-014</v>
      </c>
      <c r="AE31">
        <f t="shared" si="4"/>
        <v>9363.3859320630636</v>
      </c>
      <c r="AF31">
        <f t="shared" si="5"/>
        <v>6655.8525158055127</v>
      </c>
    </row>
    <row r="32" spans="1:32">
      <c r="AD32" t="str">
        <f t="shared" si="3"/>
        <v>25-013</v>
      </c>
      <c r="AE32">
        <f t="shared" si="4"/>
        <v>6752.6597863786546</v>
      </c>
      <c r="AF32">
        <f t="shared" si="5"/>
        <v>11382.915868914375</v>
      </c>
    </row>
    <row r="33" spans="30:32">
      <c r="AE33">
        <f t="shared" si="4"/>
        <v>14992.607986792922</v>
      </c>
      <c r="AF33">
        <f t="shared" si="5"/>
        <v>10230.201212704182</v>
      </c>
    </row>
    <row r="34" spans="30:32">
      <c r="AE34">
        <f t="shared" si="4"/>
        <v>13669.80415498217</v>
      </c>
      <c r="AF34">
        <f t="shared" si="5"/>
        <v>11651.688354227692</v>
      </c>
    </row>
    <row r="35" spans="30:32">
      <c r="AD35" t="str">
        <f t="shared" si="3"/>
        <v>Mountain Gem</v>
      </c>
      <c r="AE35">
        <f t="shared" si="4"/>
        <v>10004.817087389529</v>
      </c>
      <c r="AF35">
        <f t="shared" si="5"/>
        <v>9574.0217822790146</v>
      </c>
    </row>
    <row r="36" spans="30:32">
      <c r="AD36" t="str">
        <f t="shared" si="3"/>
        <v>26-037</v>
      </c>
      <c r="AE36">
        <f t="shared" si="4"/>
        <v>10268.51840172708</v>
      </c>
      <c r="AF36">
        <f t="shared" si="5"/>
        <v>17451.377138540149</v>
      </c>
    </row>
    <row r="37" spans="30:32">
      <c r="AD37" t="str">
        <f t="shared" si="3"/>
        <v>26-033</v>
      </c>
      <c r="AE37">
        <f t="shared" si="4"/>
        <v>8891.908637970686</v>
      </c>
      <c r="AF37">
        <f t="shared" si="5"/>
        <v>12848.641767506799</v>
      </c>
    </row>
    <row r="38" spans="30:32">
      <c r="AD38" t="str">
        <f t="shared" si="3"/>
        <v>Mountain Girl</v>
      </c>
      <c r="AE38">
        <f t="shared" si="4"/>
        <v>11072.469651607797</v>
      </c>
      <c r="AF38">
        <f t="shared" si="5"/>
        <v>9860.2547115435209</v>
      </c>
    </row>
    <row r="39" spans="30:32">
      <c r="AD39" t="str">
        <f t="shared" si="3"/>
        <v>Ailsa Craig</v>
      </c>
      <c r="AE39">
        <f t="shared" si="4"/>
        <v>11373.528651468456</v>
      </c>
      <c r="AF39">
        <f t="shared" si="5"/>
        <v>7561.3912971119089</v>
      </c>
    </row>
    <row r="40" spans="30:32">
      <c r="AD40" t="str">
        <f t="shared" si="3"/>
        <v>NC261G</v>
      </c>
      <c r="AE40">
        <f t="shared" si="4"/>
        <v>14027.556064224491</v>
      </c>
      <c r="AF40">
        <f t="shared" si="5"/>
        <v>6918.0359421297908</v>
      </c>
    </row>
    <row r="41" spans="30:32">
      <c r="AD41" t="str">
        <f t="shared" si="3"/>
        <v>Mountain Heritage</v>
      </c>
      <c r="AE41">
        <f t="shared" si="4"/>
        <v>11369.347292803228</v>
      </c>
      <c r="AF41">
        <f t="shared" si="5"/>
        <v>13223.015085731944</v>
      </c>
    </row>
  </sheetData>
  <mergeCells count="1">
    <mergeCell ref="A1:AC2"/>
  </mergeCells>
  <phoneticPr fontId="20" type="noConversion"/>
  <conditionalFormatting sqref="G5:G20">
    <cfRule type="colorScale" priority="1">
      <colorScale>
        <cfvo type="min"/>
        <cfvo type="num" val="0"/>
        <cfvo type="max"/>
        <color rgb="FFC76345"/>
        <color rgb="FFF7F4EC"/>
        <color rgb="FF2F6B58"/>
      </colorScale>
    </cfRule>
  </conditionalFormatting>
  <conditionalFormatting sqref="N5:N20">
    <cfRule type="colorScale" priority="2">
      <colorScale>
        <cfvo type="min"/>
        <cfvo type="num" val="0"/>
        <cfvo type="max"/>
        <color rgb="FF4F82A8"/>
        <color rgb="FFF7F4EC"/>
        <color rgb="FFC76345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"/>
  <sheetViews>
    <sheetView showGridLines="0" workbookViewId="0">
      <selection activeCell="B37" sqref="B37"/>
    </sheetView>
  </sheetViews>
  <sheetFormatPr baseColWidth="10" defaultColWidth="8.83203125" defaultRowHeight="14"/>
  <cols>
    <col min="1" max="1" width="42" customWidth="1"/>
    <col min="2" max="7" width="15" customWidth="1"/>
    <col min="8" max="8" width="3" customWidth="1"/>
    <col min="9" max="12" width="14" customWidth="1"/>
  </cols>
  <sheetData>
    <row r="1" spans="1:12" ht="28" customHeight="1">
      <c r="A1" s="36" t="s">
        <v>513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2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4" spans="1:12" ht="35" customHeight="1">
      <c r="A4" s="1" t="s">
        <v>514</v>
      </c>
      <c r="B4" s="2" t="s">
        <v>29</v>
      </c>
    </row>
    <row r="5" spans="1:12">
      <c r="A5" s="3" t="s">
        <v>515</v>
      </c>
      <c r="B5" s="3">
        <f>COUNTA('Stomatal Measurements'!A9:A93)</f>
        <v>85</v>
      </c>
    </row>
    <row r="6" spans="1:12">
      <c r="A6" s="4" t="s">
        <v>30</v>
      </c>
      <c r="B6" s="4">
        <f>'Integrated Plants'!B5</f>
        <v>32</v>
      </c>
    </row>
    <row r="7" spans="1:12">
      <c r="A7" s="5" t="s">
        <v>516</v>
      </c>
      <c r="B7" s="5">
        <f>COUNTA('Variety Comparison'!#REF!)</f>
        <v>1</v>
      </c>
    </row>
    <row r="9" spans="1:12" ht="23" customHeight="1">
      <c r="A9" s="46" t="s">
        <v>517</v>
      </c>
      <c r="B9" s="46" t="s">
        <v>517</v>
      </c>
      <c r="C9" s="46" t="s">
        <v>517</v>
      </c>
      <c r="D9" s="46" t="s">
        <v>517</v>
      </c>
      <c r="E9" s="46" t="s">
        <v>517</v>
      </c>
      <c r="F9" s="46" t="s">
        <v>517</v>
      </c>
      <c r="G9" s="46" t="s">
        <v>517</v>
      </c>
      <c r="H9" s="46" t="s">
        <v>517</v>
      </c>
      <c r="I9" s="46" t="s">
        <v>517</v>
      </c>
      <c r="J9" s="46" t="s">
        <v>517</v>
      </c>
      <c r="K9" s="46" t="s">
        <v>517</v>
      </c>
      <c r="L9" s="46" t="s">
        <v>517</v>
      </c>
    </row>
    <row r="10" spans="1:12" ht="35" customHeight="1">
      <c r="A10" s="1" t="s">
        <v>518</v>
      </c>
      <c r="B10" s="6" t="s">
        <v>6</v>
      </c>
      <c r="C10" s="6" t="s">
        <v>7</v>
      </c>
      <c r="D10" s="6" t="s">
        <v>519</v>
      </c>
      <c r="E10" s="6" t="s">
        <v>520</v>
      </c>
      <c r="F10" s="6" t="s">
        <v>521</v>
      </c>
      <c r="G10" s="2" t="s">
        <v>522</v>
      </c>
      <c r="I10" s="57" t="s">
        <v>668</v>
      </c>
      <c r="J10" s="58"/>
      <c r="K10" s="58"/>
      <c r="L10" s="59"/>
    </row>
    <row r="11" spans="1:12">
      <c r="A11" s="3" t="s">
        <v>523</v>
      </c>
      <c r="B11" s="22">
        <f>AVERAGEIF('Integrated Plants'!G10:G41,"watered",'Integrated Plants'!AJ10:AJ41)</f>
        <v>10968.522349239933</v>
      </c>
      <c r="C11" s="22">
        <f>AVERAGEIF('Integrated Plants'!G10:G41,"drought_stressed",'Integrated Plants'!AJ10:AJ41)</f>
        <v>10211.455252737855</v>
      </c>
      <c r="D11" s="22">
        <f>C11-B11</f>
        <v>-757.06709650207813</v>
      </c>
      <c r="E11" s="22">
        <v>-2766.3328304773877</v>
      </c>
      <c r="F11" s="22">
        <v>1252.1986374732303</v>
      </c>
      <c r="G11" s="13">
        <v>0.43445621134608337</v>
      </c>
      <c r="I11" s="60"/>
      <c r="J11" s="61"/>
      <c r="K11" s="61"/>
      <c r="L11" s="62"/>
    </row>
    <row r="12" spans="1:12">
      <c r="A12" s="4" t="s">
        <v>524</v>
      </c>
      <c r="B12" s="20">
        <f>D11/B11</f>
        <v>-6.9021794586081084E-2</v>
      </c>
      <c r="C12" s="4"/>
      <c r="D12" s="4"/>
      <c r="E12" s="4"/>
      <c r="F12" s="4"/>
      <c r="G12" s="14"/>
      <c r="I12" s="60"/>
      <c r="J12" s="61"/>
      <c r="K12" s="61"/>
      <c r="L12" s="62"/>
    </row>
    <row r="13" spans="1:12">
      <c r="A13" s="4" t="s">
        <v>525</v>
      </c>
      <c r="B13" s="4"/>
      <c r="C13" s="4"/>
      <c r="D13" s="23">
        <v>-1380.8702821744373</v>
      </c>
      <c r="E13" s="4"/>
      <c r="F13" s="4"/>
      <c r="G13" s="14"/>
      <c r="I13" s="60"/>
      <c r="J13" s="61"/>
      <c r="K13" s="61"/>
      <c r="L13" s="62"/>
    </row>
    <row r="14" spans="1:12">
      <c r="A14" s="4" t="s">
        <v>526</v>
      </c>
      <c r="B14" s="4"/>
      <c r="C14" s="4"/>
      <c r="D14" s="4"/>
      <c r="E14" s="4"/>
      <c r="F14" s="4"/>
      <c r="G14" s="14">
        <v>0.43445621134608337</v>
      </c>
      <c r="I14" s="60"/>
      <c r="J14" s="61"/>
      <c r="K14" s="61"/>
      <c r="L14" s="62"/>
    </row>
    <row r="15" spans="1:12">
      <c r="A15" s="5" t="s">
        <v>527</v>
      </c>
      <c r="B15" s="5"/>
      <c r="C15" s="5"/>
      <c r="D15" s="5"/>
      <c r="E15" s="5"/>
      <c r="F15" s="5"/>
      <c r="G15" s="15">
        <v>0.40374755859375</v>
      </c>
      <c r="I15" s="63"/>
      <c r="J15" s="64"/>
      <c r="K15" s="64"/>
      <c r="L15" s="65"/>
    </row>
    <row r="17" spans="1:12" ht="23" customHeight="1">
      <c r="A17" s="46" t="s">
        <v>528</v>
      </c>
      <c r="B17" s="46" t="s">
        <v>528</v>
      </c>
      <c r="C17" s="46" t="s">
        <v>528</v>
      </c>
      <c r="D17" s="46" t="s">
        <v>528</v>
      </c>
      <c r="E17" s="46" t="s">
        <v>528</v>
      </c>
      <c r="F17" s="46" t="s">
        <v>528</v>
      </c>
      <c r="G17" s="46" t="s">
        <v>528</v>
      </c>
      <c r="H17" s="46" t="s">
        <v>528</v>
      </c>
      <c r="I17" s="46" t="s">
        <v>528</v>
      </c>
      <c r="J17" s="46" t="s">
        <v>528</v>
      </c>
      <c r="K17" s="46" t="s">
        <v>528</v>
      </c>
      <c r="L17" s="46" t="s">
        <v>528</v>
      </c>
    </row>
    <row r="18" spans="1:12" ht="35" customHeight="1">
      <c r="A18" s="1" t="s">
        <v>518</v>
      </c>
      <c r="B18" s="6" t="s">
        <v>6</v>
      </c>
      <c r="C18" s="6" t="s">
        <v>7</v>
      </c>
      <c r="D18" s="6" t="s">
        <v>519</v>
      </c>
      <c r="E18" s="6" t="s">
        <v>529</v>
      </c>
      <c r="F18" s="6" t="s">
        <v>530</v>
      </c>
      <c r="G18" s="2" t="s">
        <v>522</v>
      </c>
      <c r="I18" s="66" t="s">
        <v>669</v>
      </c>
      <c r="J18" s="67"/>
      <c r="K18" s="67"/>
      <c r="L18" s="68"/>
    </row>
    <row r="19" spans="1:12">
      <c r="A19" s="3" t="s">
        <v>531</v>
      </c>
      <c r="B19" s="13">
        <f>I29</f>
        <v>25.999552273886312</v>
      </c>
      <c r="C19" s="13">
        <f>I30</f>
        <v>25.792459850159769</v>
      </c>
      <c r="D19" s="13">
        <f>C19-B19</f>
        <v>-0.20709242372654302</v>
      </c>
      <c r="E19" s="3"/>
      <c r="F19" s="3"/>
      <c r="G19" s="13"/>
      <c r="I19" s="69"/>
      <c r="J19" s="70"/>
      <c r="K19" s="70"/>
      <c r="L19" s="71"/>
    </row>
    <row r="20" spans="1:12">
      <c r="A20" s="4" t="s">
        <v>532</v>
      </c>
      <c r="B20" s="14"/>
      <c r="C20" s="14"/>
      <c r="D20" s="14">
        <f>AVERAGE('Variety Comparison'!N5:N20)</f>
        <v>-0.15439736365869527</v>
      </c>
      <c r="E20" s="4">
        <v>16</v>
      </c>
      <c r="F20" s="4" t="s">
        <v>533</v>
      </c>
      <c r="G20" s="14">
        <v>0.44821417959321441</v>
      </c>
      <c r="I20" s="69"/>
      <c r="J20" s="70"/>
      <c r="K20" s="70"/>
      <c r="L20" s="71"/>
    </row>
    <row r="21" spans="1:12">
      <c r="A21" s="4" t="s">
        <v>534</v>
      </c>
      <c r="B21" s="14"/>
      <c r="C21" s="14"/>
      <c r="D21" s="14">
        <f>AVERAGE('Variety Comparison'!AA5:AA20)</f>
        <v>-0.24093074914698523</v>
      </c>
      <c r="E21" s="4">
        <v>14</v>
      </c>
      <c r="F21" s="4" t="s">
        <v>535</v>
      </c>
      <c r="G21" s="14">
        <v>9.286311281859165E-2</v>
      </c>
      <c r="I21" s="69"/>
      <c r="J21" s="70"/>
      <c r="K21" s="70"/>
      <c r="L21" s="71"/>
    </row>
    <row r="22" spans="1:12">
      <c r="A22" s="4" t="s">
        <v>536</v>
      </c>
      <c r="B22" s="17">
        <f>K29</f>
        <v>5957.4666666666662</v>
      </c>
      <c r="C22" s="17">
        <f>K30</f>
        <v>8650.6</v>
      </c>
      <c r="D22" s="17">
        <f>C22-B22</f>
        <v>2693.1333333333341</v>
      </c>
      <c r="E22" s="4"/>
      <c r="F22" s="4"/>
      <c r="G22" s="14"/>
      <c r="I22" s="69"/>
      <c r="J22" s="70"/>
      <c r="K22" s="70"/>
      <c r="L22" s="71"/>
    </row>
    <row r="23" spans="1:12">
      <c r="A23" s="5" t="s">
        <v>537</v>
      </c>
      <c r="B23" s="18"/>
      <c r="C23" s="18"/>
      <c r="D23" s="18">
        <f>AVERAGE('Variety Comparison'!AB5:AB20)</f>
        <v>2373.7857142857142</v>
      </c>
      <c r="E23" s="5">
        <v>14</v>
      </c>
      <c r="F23" s="5" t="s">
        <v>538</v>
      </c>
      <c r="G23" s="15">
        <v>2.9426662174690272E-3</v>
      </c>
      <c r="I23" s="72"/>
      <c r="J23" s="73"/>
      <c r="K23" s="73"/>
      <c r="L23" s="74"/>
    </row>
    <row r="27" spans="1:12" ht="23" customHeight="1">
      <c r="A27" s="46" t="s">
        <v>539</v>
      </c>
      <c r="B27" s="46" t="s">
        <v>539</v>
      </c>
      <c r="C27" s="46" t="s">
        <v>539</v>
      </c>
      <c r="D27" s="46" t="s">
        <v>539</v>
      </c>
      <c r="E27" s="46" t="s">
        <v>539</v>
      </c>
      <c r="F27" s="46" t="s">
        <v>539</v>
      </c>
      <c r="G27" s="46" t="s">
        <v>539</v>
      </c>
      <c r="H27" s="46" t="s">
        <v>539</v>
      </c>
      <c r="I27" s="46" t="s">
        <v>539</v>
      </c>
      <c r="J27" s="46" t="s">
        <v>539</v>
      </c>
      <c r="K27" s="46" t="s">
        <v>539</v>
      </c>
      <c r="L27" s="46" t="s">
        <v>539</v>
      </c>
    </row>
    <row r="28" spans="1:12" ht="35" customHeight="1">
      <c r="A28" s="1" t="s">
        <v>39</v>
      </c>
      <c r="B28" s="6" t="s">
        <v>540</v>
      </c>
      <c r="C28" s="6" t="s">
        <v>541</v>
      </c>
      <c r="D28" s="6" t="s">
        <v>542</v>
      </c>
      <c r="E28" s="6" t="s">
        <v>543</v>
      </c>
      <c r="F28" s="6" t="s">
        <v>544</v>
      </c>
      <c r="G28" s="6" t="s">
        <v>306</v>
      </c>
      <c r="H28" s="6" t="s">
        <v>545</v>
      </c>
      <c r="I28" s="6" t="s">
        <v>546</v>
      </c>
      <c r="J28" s="6" t="s">
        <v>547</v>
      </c>
      <c r="K28" s="6" t="s">
        <v>548</v>
      </c>
      <c r="L28" s="2" t="s">
        <v>549</v>
      </c>
    </row>
    <row r="29" spans="1:12">
      <c r="A29" s="3" t="s">
        <v>88</v>
      </c>
      <c r="B29" s="3">
        <v>16</v>
      </c>
      <c r="C29" s="3">
        <v>42</v>
      </c>
      <c r="D29" s="22">
        <v>10968.522349239933</v>
      </c>
      <c r="E29" s="22">
        <v>11220.908472205512</v>
      </c>
      <c r="F29" s="22">
        <v>2536.8101163716678</v>
      </c>
      <c r="G29" s="3" t="s">
        <v>85</v>
      </c>
      <c r="H29" s="3">
        <v>15</v>
      </c>
      <c r="I29" s="13">
        <v>25.999552273886312</v>
      </c>
      <c r="J29" s="13">
        <v>0.99955227388631063</v>
      </c>
      <c r="K29" s="16">
        <v>5957.4666666666662</v>
      </c>
      <c r="L29" s="19">
        <v>1.9392795138888891E-2</v>
      </c>
    </row>
    <row r="30" spans="1:12">
      <c r="A30" s="5" t="s">
        <v>79</v>
      </c>
      <c r="B30" s="5">
        <v>16</v>
      </c>
      <c r="C30" s="5">
        <v>43</v>
      </c>
      <c r="D30" s="24">
        <v>10211.455252737855</v>
      </c>
      <c r="E30" s="24">
        <v>9717.1382469112687</v>
      </c>
      <c r="F30" s="24">
        <v>2777.834335064656</v>
      </c>
      <c r="G30" s="5" t="s">
        <v>85</v>
      </c>
      <c r="H30" s="5">
        <v>15</v>
      </c>
      <c r="I30" s="15">
        <v>25.792459850159769</v>
      </c>
      <c r="J30" s="15">
        <v>0.79245985015977094</v>
      </c>
      <c r="K30" s="18">
        <v>8650.6</v>
      </c>
      <c r="L30" s="21">
        <v>2.8159505208333335E-2</v>
      </c>
    </row>
  </sheetData>
  <mergeCells count="6">
    <mergeCell ref="I18:L23"/>
    <mergeCell ref="A27:L27"/>
    <mergeCell ref="A1:L2"/>
    <mergeCell ref="A9:L9"/>
    <mergeCell ref="A17:L17"/>
    <mergeCell ref="I10:L15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95"/>
  <sheetViews>
    <sheetView showGridLines="0" workbookViewId="0">
      <selection activeCell="E99" sqref="E99"/>
    </sheetView>
  </sheetViews>
  <sheetFormatPr baseColWidth="10" defaultColWidth="8.83203125" defaultRowHeight="14"/>
  <cols>
    <col min="1" max="3" width="18" customWidth="1"/>
    <col min="4" max="4" width="30" customWidth="1"/>
    <col min="5" max="7" width="18" customWidth="1"/>
    <col min="8" max="17" width="13" customWidth="1"/>
    <col min="18" max="19" width="16" customWidth="1"/>
  </cols>
  <sheetData>
    <row r="1" spans="1:19" ht="28" customHeight="1">
      <c r="A1" s="36" t="s">
        <v>550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</row>
    <row r="2" spans="1:19" ht="12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</row>
    <row r="4" spans="1:19" ht="35" customHeight="1">
      <c r="A4" s="1" t="s">
        <v>551</v>
      </c>
      <c r="B4" s="2" t="s">
        <v>29</v>
      </c>
      <c r="D4" s="1" t="s">
        <v>552</v>
      </c>
      <c r="E4" s="6" t="s">
        <v>529</v>
      </c>
      <c r="F4" s="6" t="s">
        <v>553</v>
      </c>
      <c r="G4" s="6" t="s">
        <v>530</v>
      </c>
      <c r="H4" s="2" t="s">
        <v>554</v>
      </c>
      <c r="J4" s="75" t="s">
        <v>555</v>
      </c>
      <c r="K4" s="76"/>
      <c r="L4" s="76"/>
      <c r="M4" s="76"/>
      <c r="N4" s="76"/>
      <c r="O4" s="76"/>
      <c r="P4" s="76"/>
      <c r="Q4" s="76"/>
      <c r="R4" s="76"/>
      <c r="S4" s="77"/>
    </row>
    <row r="5" spans="1:19">
      <c r="A5" s="3" t="s">
        <v>556</v>
      </c>
      <c r="B5" s="3">
        <f>'Integrated Plants'!B7</f>
        <v>30</v>
      </c>
      <c r="D5" s="3" t="s">
        <v>557</v>
      </c>
      <c r="E5" s="3">
        <v>16</v>
      </c>
      <c r="F5" s="13">
        <v>-0.15439736365869527</v>
      </c>
      <c r="G5" s="3" t="s">
        <v>558</v>
      </c>
      <c r="H5" s="13">
        <v>0.44821417959321441</v>
      </c>
      <c r="J5" s="78"/>
      <c r="K5" s="79"/>
      <c r="L5" s="79"/>
      <c r="M5" s="79"/>
      <c r="N5" s="79"/>
      <c r="O5" s="79"/>
      <c r="P5" s="79"/>
      <c r="Q5" s="79"/>
      <c r="R5" s="79"/>
      <c r="S5" s="80"/>
    </row>
    <row r="6" spans="1:19">
      <c r="A6" s="4" t="s">
        <v>559</v>
      </c>
      <c r="B6" s="4">
        <f>COUNTA('Integrated Plants'!A10:A41)-B5</f>
        <v>2</v>
      </c>
      <c r="D6" s="4" t="s">
        <v>560</v>
      </c>
      <c r="E6" s="4">
        <v>14</v>
      </c>
      <c r="F6" s="14">
        <v>-0.24093074914698523</v>
      </c>
      <c r="G6" s="4" t="s">
        <v>561</v>
      </c>
      <c r="H6" s="14">
        <v>9.286311281859165E-2</v>
      </c>
      <c r="J6" s="78"/>
      <c r="K6" s="79"/>
      <c r="L6" s="79"/>
      <c r="M6" s="79"/>
      <c r="N6" s="79"/>
      <c r="O6" s="79"/>
      <c r="P6" s="79"/>
      <c r="Q6" s="79"/>
      <c r="R6" s="79"/>
      <c r="S6" s="80"/>
    </row>
    <row r="7" spans="1:19">
      <c r="A7" s="5" t="s">
        <v>562</v>
      </c>
      <c r="B7" s="5">
        <f>COUNTA('Variety Comparison'!#REF!)-COUNTA('Integrated Plants'!Z10:Z41)</f>
        <v>-1</v>
      </c>
      <c r="D7" s="5" t="s">
        <v>563</v>
      </c>
      <c r="E7" s="5">
        <v>14</v>
      </c>
      <c r="F7" s="18">
        <v>2373.7857142857142</v>
      </c>
      <c r="G7" s="5" t="s">
        <v>564</v>
      </c>
      <c r="H7" s="15">
        <v>2.9426662174690272E-3</v>
      </c>
      <c r="J7" s="81"/>
      <c r="K7" s="82"/>
      <c r="L7" s="82"/>
      <c r="M7" s="82"/>
      <c r="N7" s="82"/>
      <c r="O7" s="82"/>
      <c r="P7" s="82"/>
      <c r="Q7" s="82"/>
      <c r="R7" s="82"/>
      <c r="S7" s="83"/>
    </row>
    <row r="9" spans="1:19" ht="23" customHeight="1">
      <c r="A9" s="46" t="s">
        <v>565</v>
      </c>
      <c r="B9" s="46" t="s">
        <v>565</v>
      </c>
      <c r="C9" s="46" t="s">
        <v>565</v>
      </c>
      <c r="D9" s="46" t="s">
        <v>565</v>
      </c>
      <c r="E9" s="46" t="s">
        <v>565</v>
      </c>
      <c r="F9" s="46" t="s">
        <v>565</v>
      </c>
      <c r="G9" s="46" t="s">
        <v>565</v>
      </c>
      <c r="H9" s="46" t="s">
        <v>565</v>
      </c>
      <c r="I9" s="46" t="s">
        <v>565</v>
      </c>
      <c r="J9" s="46" t="s">
        <v>565</v>
      </c>
      <c r="K9" s="46" t="s">
        <v>565</v>
      </c>
      <c r="L9" s="46" t="s">
        <v>565</v>
      </c>
      <c r="M9" s="46" t="s">
        <v>565</v>
      </c>
      <c r="N9" s="46" t="s">
        <v>565</v>
      </c>
      <c r="O9" s="46" t="s">
        <v>565</v>
      </c>
      <c r="P9" s="46" t="s">
        <v>565</v>
      </c>
      <c r="Q9" s="46" t="s">
        <v>565</v>
      </c>
      <c r="R9" s="46" t="s">
        <v>565</v>
      </c>
      <c r="S9" s="46" t="s">
        <v>565</v>
      </c>
    </row>
    <row r="10" spans="1:19" ht="35" customHeight="1">
      <c r="A10" s="1" t="s">
        <v>566</v>
      </c>
      <c r="B10" s="6" t="s">
        <v>567</v>
      </c>
      <c r="C10" s="6" t="s">
        <v>36</v>
      </c>
      <c r="D10" s="6" t="s">
        <v>568</v>
      </c>
      <c r="E10" s="6" t="s">
        <v>569</v>
      </c>
      <c r="F10" s="6" t="s">
        <v>570</v>
      </c>
      <c r="G10" s="6" t="s">
        <v>571</v>
      </c>
      <c r="H10" s="6" t="s">
        <v>572</v>
      </c>
      <c r="I10" s="6" t="s">
        <v>573</v>
      </c>
      <c r="J10" s="6" t="s">
        <v>574</v>
      </c>
      <c r="K10" s="6" t="s">
        <v>575</v>
      </c>
      <c r="L10" s="6" t="s">
        <v>576</v>
      </c>
      <c r="M10" s="6" t="s">
        <v>577</v>
      </c>
      <c r="N10" s="6" t="s">
        <v>578</v>
      </c>
      <c r="O10" s="6" t="s">
        <v>579</v>
      </c>
      <c r="P10" s="6" t="s">
        <v>580</v>
      </c>
      <c r="Q10" s="6" t="s">
        <v>581</v>
      </c>
      <c r="R10" s="6" t="s">
        <v>582</v>
      </c>
      <c r="S10" s="2" t="s">
        <v>583</v>
      </c>
    </row>
    <row r="11" spans="1:19">
      <c r="A11" s="3" t="s">
        <v>584</v>
      </c>
      <c r="B11" s="3" t="s">
        <v>82</v>
      </c>
      <c r="C11" s="3" t="s">
        <v>76</v>
      </c>
      <c r="D11" s="3" t="s">
        <v>585</v>
      </c>
      <c r="E11" s="3" t="s">
        <v>77</v>
      </c>
      <c r="F11" s="3" t="s">
        <v>586</v>
      </c>
      <c r="G11" s="3" t="s">
        <v>587</v>
      </c>
      <c r="H11" s="13">
        <v>23.86223837740792</v>
      </c>
      <c r="I11" s="13">
        <v>23.892277143343563</v>
      </c>
      <c r="J11" s="13">
        <v>21.801385247910673</v>
      </c>
      <c r="K11" s="13">
        <v>24.271898640431914</v>
      </c>
      <c r="L11" s="13">
        <v>0.20369204901889129</v>
      </c>
      <c r="M11" s="13">
        <v>23.635460335601806</v>
      </c>
      <c r="N11" s="13">
        <v>24.060189373878131</v>
      </c>
      <c r="O11" s="13">
        <v>2.4705133925212408</v>
      </c>
      <c r="P11" s="16">
        <v>307200</v>
      </c>
      <c r="Q11" s="13">
        <v>-1.1377616225920804</v>
      </c>
      <c r="R11" s="3" t="s">
        <v>588</v>
      </c>
      <c r="S11" s="3" t="s">
        <v>589</v>
      </c>
    </row>
    <row r="12" spans="1:19">
      <c r="A12" s="4" t="s">
        <v>584</v>
      </c>
      <c r="B12" s="4" t="s">
        <v>90</v>
      </c>
      <c r="C12" s="4" t="s">
        <v>96</v>
      </c>
      <c r="D12" s="4" t="s">
        <v>590</v>
      </c>
      <c r="E12" s="4" t="s">
        <v>77</v>
      </c>
      <c r="F12" s="4" t="s">
        <v>591</v>
      </c>
      <c r="G12" s="4" t="s">
        <v>592</v>
      </c>
      <c r="H12" s="14">
        <v>24.224702093729579</v>
      </c>
      <c r="I12" s="14">
        <v>24.201377166180464</v>
      </c>
      <c r="J12" s="14">
        <v>23.564501154446589</v>
      </c>
      <c r="K12" s="14">
        <v>25.463472605920515</v>
      </c>
      <c r="L12" s="14">
        <v>0.23074705039931026</v>
      </c>
      <c r="M12" s="14">
        <v>23.989522864611388</v>
      </c>
      <c r="N12" s="14">
        <v>24.483174516599263</v>
      </c>
      <c r="O12" s="14">
        <v>1.8989714514739262</v>
      </c>
      <c r="P12" s="17">
        <v>307200</v>
      </c>
      <c r="Q12" s="14">
        <v>-0.77529790627042061</v>
      </c>
      <c r="R12" s="4" t="s">
        <v>588</v>
      </c>
      <c r="S12" s="4" t="s">
        <v>589</v>
      </c>
    </row>
    <row r="13" spans="1:19">
      <c r="A13" s="4" t="s">
        <v>584</v>
      </c>
      <c r="B13" s="4" t="s">
        <v>98</v>
      </c>
      <c r="C13" s="4" t="s">
        <v>108</v>
      </c>
      <c r="D13" s="4" t="s">
        <v>585</v>
      </c>
      <c r="E13" s="4" t="s">
        <v>77</v>
      </c>
      <c r="F13" s="4" t="s">
        <v>593</v>
      </c>
      <c r="G13" s="4" t="s">
        <v>594</v>
      </c>
      <c r="H13" s="14">
        <v>24.193644336257513</v>
      </c>
      <c r="I13" s="14">
        <v>24.201377166180464</v>
      </c>
      <c r="J13" s="14">
        <v>23.146620748741896</v>
      </c>
      <c r="K13" s="14">
        <v>25.297821941810696</v>
      </c>
      <c r="L13" s="14">
        <v>0.24185480081302968</v>
      </c>
      <c r="M13" s="14">
        <v>23.848044139546232</v>
      </c>
      <c r="N13" s="14">
        <v>24.483174516599263</v>
      </c>
      <c r="O13" s="14">
        <v>2.1512011930688004</v>
      </c>
      <c r="P13" s="17">
        <v>307200</v>
      </c>
      <c r="Q13" s="14">
        <v>-0.80635566374248668</v>
      </c>
      <c r="R13" s="4" t="s">
        <v>588</v>
      </c>
      <c r="S13" s="4" t="s">
        <v>589</v>
      </c>
    </row>
    <row r="14" spans="1:19">
      <c r="A14" s="4" t="s">
        <v>584</v>
      </c>
      <c r="B14" s="4" t="s">
        <v>103</v>
      </c>
      <c r="C14" s="4" t="s">
        <v>120</v>
      </c>
      <c r="D14" s="4" t="s">
        <v>590</v>
      </c>
      <c r="E14" s="4" t="s">
        <v>77</v>
      </c>
      <c r="F14" s="4" t="s">
        <v>595</v>
      </c>
      <c r="G14" s="4" t="s">
        <v>596</v>
      </c>
      <c r="H14" s="14">
        <v>24.028871778931848</v>
      </c>
      <c r="I14" s="14">
        <v>24.060189373878131</v>
      </c>
      <c r="J14" s="14">
        <v>22.995051114388957</v>
      </c>
      <c r="K14" s="14">
        <v>24.904436287005069</v>
      </c>
      <c r="L14" s="14">
        <v>0.22882277401298917</v>
      </c>
      <c r="M14" s="14">
        <v>23.777231730717517</v>
      </c>
      <c r="N14" s="14">
        <v>24.28071043691665</v>
      </c>
      <c r="O14" s="14">
        <v>1.909385172616112</v>
      </c>
      <c r="P14" s="17">
        <v>307200</v>
      </c>
      <c r="Q14" s="14">
        <v>-0.97112822106815244</v>
      </c>
      <c r="R14" s="4" t="s">
        <v>588</v>
      </c>
      <c r="S14" s="4" t="s">
        <v>589</v>
      </c>
    </row>
    <row r="15" spans="1:19">
      <c r="A15" s="4" t="s">
        <v>584</v>
      </c>
      <c r="B15" s="4" t="s">
        <v>110</v>
      </c>
      <c r="C15" s="4" t="s">
        <v>132</v>
      </c>
      <c r="D15" s="4" t="s">
        <v>585</v>
      </c>
      <c r="E15" s="4" t="s">
        <v>77</v>
      </c>
      <c r="F15" s="4" t="s">
        <v>597</v>
      </c>
      <c r="G15" s="4" t="s">
        <v>598</v>
      </c>
      <c r="H15" s="14">
        <v>24.306888505442071</v>
      </c>
      <c r="I15" s="14">
        <v>24.342371960394473</v>
      </c>
      <c r="J15" s="14">
        <v>23.280172251248302</v>
      </c>
      <c r="K15" s="14">
        <v>25.315271262936562</v>
      </c>
      <c r="L15" s="14">
        <v>0.19795119425004726</v>
      </c>
      <c r="M15" s="14">
        <v>24.060189373878131</v>
      </c>
      <c r="N15" s="14">
        <v>24.553503941674137</v>
      </c>
      <c r="O15" s="14">
        <v>2.0350990116882599</v>
      </c>
      <c r="P15" s="17">
        <v>307200</v>
      </c>
      <c r="Q15" s="14">
        <v>-0.69311149455792886</v>
      </c>
      <c r="R15" s="4" t="s">
        <v>588</v>
      </c>
      <c r="S15" s="4" t="s">
        <v>589</v>
      </c>
    </row>
    <row r="16" spans="1:19">
      <c r="A16" s="4" t="s">
        <v>584</v>
      </c>
      <c r="B16" s="4" t="s">
        <v>115</v>
      </c>
      <c r="C16" s="4" t="s">
        <v>144</v>
      </c>
      <c r="D16" s="4" t="s">
        <v>590</v>
      </c>
      <c r="E16" s="4" t="s">
        <v>77</v>
      </c>
      <c r="F16" s="4" t="s">
        <v>599</v>
      </c>
      <c r="G16" s="4" t="s">
        <v>600</v>
      </c>
      <c r="H16" s="14">
        <v>24.316883817416947</v>
      </c>
      <c r="I16" s="14">
        <v>24.271898640431914</v>
      </c>
      <c r="J16" s="14">
        <v>23.00397320506454</v>
      </c>
      <c r="K16" s="14">
        <v>25.533141578443008</v>
      </c>
      <c r="L16" s="14">
        <v>0.31853104859648268</v>
      </c>
      <c r="M16" s="14">
        <v>23.989522864611388</v>
      </c>
      <c r="N16" s="14">
        <v>24.74666379404141</v>
      </c>
      <c r="O16" s="14">
        <v>2.529168373378468</v>
      </c>
      <c r="P16" s="17">
        <v>307200</v>
      </c>
      <c r="Q16" s="14">
        <v>-0.68311618258305273</v>
      </c>
      <c r="R16" s="4" t="s">
        <v>588</v>
      </c>
      <c r="S16" s="4" t="s">
        <v>589</v>
      </c>
    </row>
    <row r="17" spans="1:19">
      <c r="A17" s="4" t="s">
        <v>584</v>
      </c>
      <c r="B17" s="4" t="s">
        <v>122</v>
      </c>
      <c r="C17" s="4" t="s">
        <v>156</v>
      </c>
      <c r="D17" s="4" t="s">
        <v>585</v>
      </c>
      <c r="E17" s="4" t="s">
        <v>77</v>
      </c>
      <c r="F17" s="4" t="s">
        <v>601</v>
      </c>
      <c r="G17" s="4" t="s">
        <v>602</v>
      </c>
      <c r="H17" s="14">
        <v>24.37212004168536</v>
      </c>
      <c r="I17" s="14">
        <v>24.342371960394473</v>
      </c>
      <c r="J17" s="14">
        <v>23.146620748741896</v>
      </c>
      <c r="K17" s="14">
        <v>25.463472605920515</v>
      </c>
      <c r="L17" s="14">
        <v>0.24605453894312398</v>
      </c>
      <c r="M17" s="14">
        <v>24.060189373878131</v>
      </c>
      <c r="N17" s="14">
        <v>24.694019555643024</v>
      </c>
      <c r="O17" s="14">
        <v>2.3168518571786194</v>
      </c>
      <c r="P17" s="17">
        <v>307200</v>
      </c>
      <c r="Q17" s="14">
        <v>-0.62787995831464016</v>
      </c>
      <c r="R17" s="4" t="s">
        <v>588</v>
      </c>
      <c r="S17" s="4" t="s">
        <v>589</v>
      </c>
    </row>
    <row r="18" spans="1:19">
      <c r="A18" s="4" t="s">
        <v>584</v>
      </c>
      <c r="B18" s="4" t="s">
        <v>127</v>
      </c>
      <c r="C18" s="4" t="s">
        <v>603</v>
      </c>
      <c r="D18" s="4" t="s">
        <v>590</v>
      </c>
      <c r="E18" s="4" t="s">
        <v>169</v>
      </c>
      <c r="F18" s="4" t="s">
        <v>604</v>
      </c>
      <c r="G18" s="4" t="s">
        <v>605</v>
      </c>
      <c r="H18" s="14">
        <v>24.440091265350421</v>
      </c>
      <c r="I18" s="14">
        <v>24.483174516599263</v>
      </c>
      <c r="J18" s="14">
        <v>22.377532556832136</v>
      </c>
      <c r="K18" s="14">
        <v>25.358881779284218</v>
      </c>
      <c r="L18" s="14">
        <v>0.22333599587554545</v>
      </c>
      <c r="M18" s="14">
        <v>24.201377166180464</v>
      </c>
      <c r="N18" s="14">
        <v>24.650128910018225</v>
      </c>
      <c r="O18" s="14">
        <v>2.9813492224520814</v>
      </c>
      <c r="P18" s="17">
        <v>307200</v>
      </c>
      <c r="Q18" s="14">
        <v>-0.55990873464957858</v>
      </c>
      <c r="R18" s="4" t="s">
        <v>588</v>
      </c>
      <c r="S18" s="4" t="s">
        <v>589</v>
      </c>
    </row>
    <row r="19" spans="1:19">
      <c r="A19" s="4" t="s">
        <v>584</v>
      </c>
      <c r="B19" s="4" t="s">
        <v>134</v>
      </c>
      <c r="C19" s="4" t="s">
        <v>181</v>
      </c>
      <c r="D19" s="4" t="s">
        <v>585</v>
      </c>
      <c r="E19" s="4" t="s">
        <v>77</v>
      </c>
      <c r="F19" s="4" t="s">
        <v>606</v>
      </c>
      <c r="G19" s="4" t="s">
        <v>607</v>
      </c>
      <c r="H19" s="14">
        <v>24.545122957589452</v>
      </c>
      <c r="I19" s="14">
        <v>24.491968310726804</v>
      </c>
      <c r="J19" s="14">
        <v>23.644326784411135</v>
      </c>
      <c r="K19" s="14">
        <v>26.123459774424134</v>
      </c>
      <c r="L19" s="14">
        <v>0.25677927106305748</v>
      </c>
      <c r="M19" s="14">
        <v>24.271898640431914</v>
      </c>
      <c r="N19" s="14">
        <v>24.886917857061633</v>
      </c>
      <c r="O19" s="14">
        <v>2.4791329900129995</v>
      </c>
      <c r="P19" s="17">
        <v>307200</v>
      </c>
      <c r="Q19" s="14">
        <v>-0.45487704241054772</v>
      </c>
      <c r="R19" s="4" t="s">
        <v>588</v>
      </c>
      <c r="S19" s="4" t="s">
        <v>589</v>
      </c>
    </row>
    <row r="20" spans="1:19">
      <c r="A20" s="4" t="s">
        <v>584</v>
      </c>
      <c r="B20" s="4" t="s">
        <v>139</v>
      </c>
      <c r="C20" s="4" t="s">
        <v>608</v>
      </c>
      <c r="D20" s="4" t="s">
        <v>590</v>
      </c>
      <c r="E20" s="4" t="s">
        <v>169</v>
      </c>
      <c r="F20" s="4" t="s">
        <v>609</v>
      </c>
      <c r="G20" s="4" t="s">
        <v>610</v>
      </c>
      <c r="H20" s="14">
        <v>24.515950044720345</v>
      </c>
      <c r="I20" s="14">
        <v>24.553503941674137</v>
      </c>
      <c r="J20" s="14">
        <v>23.635460335601806</v>
      </c>
      <c r="K20" s="14">
        <v>25.184330000304612</v>
      </c>
      <c r="L20" s="14">
        <v>0.19627737902572057</v>
      </c>
      <c r="M20" s="14">
        <v>24.245458735772843</v>
      </c>
      <c r="N20" s="14">
        <v>24.764205931609126</v>
      </c>
      <c r="O20" s="14">
        <v>1.5488696647028064</v>
      </c>
      <c r="P20" s="17">
        <v>307200</v>
      </c>
      <c r="Q20" s="14">
        <v>-0.48404995527965511</v>
      </c>
      <c r="R20" s="4" t="s">
        <v>588</v>
      </c>
      <c r="S20" s="4" t="s">
        <v>589</v>
      </c>
    </row>
    <row r="21" spans="1:19">
      <c r="A21" s="4" t="s">
        <v>584</v>
      </c>
      <c r="B21" s="4" t="s">
        <v>146</v>
      </c>
      <c r="C21" s="4" t="s">
        <v>205</v>
      </c>
      <c r="D21" s="4" t="s">
        <v>585</v>
      </c>
      <c r="E21" s="4" t="s">
        <v>77</v>
      </c>
      <c r="F21" s="4" t="s">
        <v>611</v>
      </c>
      <c r="G21" s="4" t="s">
        <v>612</v>
      </c>
      <c r="H21" s="14">
        <v>24.56040828812483</v>
      </c>
      <c r="I21" s="14">
        <v>24.491968310726804</v>
      </c>
      <c r="J21" s="14">
        <v>23.803792100695034</v>
      </c>
      <c r="K21" s="14">
        <v>26.270520877447893</v>
      </c>
      <c r="L21" s="14">
        <v>0.2328866959776873</v>
      </c>
      <c r="M21" s="14">
        <v>24.342371960394473</v>
      </c>
      <c r="N21" s="14">
        <v>24.895677441741441</v>
      </c>
      <c r="O21" s="14">
        <v>2.4667287767528592</v>
      </c>
      <c r="P21" s="17">
        <v>307200</v>
      </c>
      <c r="Q21" s="14">
        <v>-0.43959171187517043</v>
      </c>
      <c r="R21" s="4" t="s">
        <v>588</v>
      </c>
      <c r="S21" s="4" t="s">
        <v>589</v>
      </c>
    </row>
    <row r="22" spans="1:19">
      <c r="A22" s="4" t="s">
        <v>584</v>
      </c>
      <c r="B22" s="4" t="s">
        <v>151</v>
      </c>
      <c r="C22" s="4" t="s">
        <v>217</v>
      </c>
      <c r="D22" s="4" t="s">
        <v>590</v>
      </c>
      <c r="E22" s="4" t="s">
        <v>77</v>
      </c>
      <c r="F22" s="4" t="s">
        <v>613</v>
      </c>
      <c r="G22" s="4" t="s">
        <v>614</v>
      </c>
      <c r="H22" s="14">
        <v>24.358936847839335</v>
      </c>
      <c r="I22" s="14">
        <v>24.359982777400546</v>
      </c>
      <c r="J22" s="14">
        <v>21.285473562207699</v>
      </c>
      <c r="K22" s="14">
        <v>25.306546967878376</v>
      </c>
      <c r="L22" s="14">
        <v>0.2232564242609317</v>
      </c>
      <c r="M22" s="14">
        <v>24.060189373878131</v>
      </c>
      <c r="N22" s="14">
        <v>24.623785590128136</v>
      </c>
      <c r="O22" s="14">
        <v>4.0210734056706769</v>
      </c>
      <c r="P22" s="17">
        <v>307200</v>
      </c>
      <c r="Q22" s="14">
        <v>-0.64106315216066534</v>
      </c>
      <c r="R22" s="4" t="s">
        <v>588</v>
      </c>
      <c r="S22" s="4" t="s">
        <v>589</v>
      </c>
    </row>
    <row r="23" spans="1:19">
      <c r="A23" s="4" t="s">
        <v>584</v>
      </c>
      <c r="B23" s="4" t="s">
        <v>158</v>
      </c>
      <c r="C23" s="4" t="s">
        <v>615</v>
      </c>
      <c r="D23" s="4" t="s">
        <v>585</v>
      </c>
      <c r="E23" s="4" t="s">
        <v>169</v>
      </c>
      <c r="F23" s="4" t="s">
        <v>616</v>
      </c>
      <c r="G23" s="4" t="s">
        <v>617</v>
      </c>
      <c r="H23" s="14">
        <v>24.537181855637265</v>
      </c>
      <c r="I23" s="14">
        <v>24.553503941674137</v>
      </c>
      <c r="J23" s="14">
        <v>23.591116598305348</v>
      </c>
      <c r="K23" s="14">
        <v>26.9426474940974</v>
      </c>
      <c r="L23" s="14">
        <v>0.23062592078726177</v>
      </c>
      <c r="M23" s="14">
        <v>24.271898640431914</v>
      </c>
      <c r="N23" s="14">
        <v>24.764205931609126</v>
      </c>
      <c r="O23" s="14">
        <v>3.3515308957920524</v>
      </c>
      <c r="P23" s="17">
        <v>307200</v>
      </c>
      <c r="Q23" s="14">
        <v>-0.4628181443627355</v>
      </c>
      <c r="R23" s="4" t="s">
        <v>588</v>
      </c>
      <c r="S23" s="4" t="s">
        <v>589</v>
      </c>
    </row>
    <row r="24" spans="1:19">
      <c r="A24" s="4" t="s">
        <v>584</v>
      </c>
      <c r="B24" s="4" t="s">
        <v>163</v>
      </c>
      <c r="C24" s="4" t="s">
        <v>618</v>
      </c>
      <c r="D24" s="4" t="s">
        <v>590</v>
      </c>
      <c r="E24" s="4" t="s">
        <v>169</v>
      </c>
      <c r="F24" s="4" t="s">
        <v>619</v>
      </c>
      <c r="G24" s="4" t="s">
        <v>620</v>
      </c>
      <c r="H24" s="14">
        <v>24.450863936975587</v>
      </c>
      <c r="I24" s="14">
        <v>24.483174516599263</v>
      </c>
      <c r="J24" s="14">
        <v>22.377532556832136</v>
      </c>
      <c r="K24" s="14">
        <v>25.637557894339977</v>
      </c>
      <c r="L24" s="14">
        <v>0.21192378320882158</v>
      </c>
      <c r="M24" s="14">
        <v>24.201377166180464</v>
      </c>
      <c r="N24" s="14">
        <v>24.685242914419575</v>
      </c>
      <c r="O24" s="14">
        <v>3.260025337507841</v>
      </c>
      <c r="P24" s="17">
        <v>307200</v>
      </c>
      <c r="Q24" s="14">
        <v>-0.54913606302441309</v>
      </c>
      <c r="R24" s="4" t="s">
        <v>588</v>
      </c>
      <c r="S24" s="4" t="s">
        <v>589</v>
      </c>
    </row>
    <row r="25" spans="1:19">
      <c r="A25" s="4" t="s">
        <v>584</v>
      </c>
      <c r="B25" s="4" t="s">
        <v>171</v>
      </c>
      <c r="C25" s="4" t="s">
        <v>254</v>
      </c>
      <c r="D25" s="4" t="s">
        <v>585</v>
      </c>
      <c r="E25" s="4" t="s">
        <v>77</v>
      </c>
      <c r="F25" s="4" t="s">
        <v>621</v>
      </c>
      <c r="G25" s="4" t="s">
        <v>622</v>
      </c>
      <c r="H25" s="14">
        <v>24.23868873976398</v>
      </c>
      <c r="I25" s="14">
        <v>24.236643928532658</v>
      </c>
      <c r="J25" s="14">
        <v>23.502371580955923</v>
      </c>
      <c r="K25" s="14">
        <v>25.254185840121579</v>
      </c>
      <c r="L25" s="14">
        <v>0.24773025048242345</v>
      </c>
      <c r="M25" s="14">
        <v>23.918807818621701</v>
      </c>
      <c r="N25" s="14">
        <v>24.491968310726804</v>
      </c>
      <c r="O25" s="14">
        <v>1.7518142591656556</v>
      </c>
      <c r="P25" s="17">
        <v>307200</v>
      </c>
      <c r="Q25" s="14">
        <v>-0.76131126023602036</v>
      </c>
      <c r="R25" s="4" t="s">
        <v>588</v>
      </c>
      <c r="S25" s="4" t="s">
        <v>589</v>
      </c>
    </row>
    <row r="26" spans="1:19">
      <c r="A26" s="4" t="s">
        <v>584</v>
      </c>
      <c r="B26" s="4" t="s">
        <v>176</v>
      </c>
      <c r="C26" s="4" t="s">
        <v>623</v>
      </c>
      <c r="D26" s="4" t="s">
        <v>590</v>
      </c>
      <c r="E26" s="4" t="s">
        <v>169</v>
      </c>
      <c r="F26" s="4" t="s">
        <v>624</v>
      </c>
      <c r="G26" s="4" t="s">
        <v>625</v>
      </c>
      <c r="H26" s="14">
        <v>24.215325786188931</v>
      </c>
      <c r="I26" s="14">
        <v>24.201377166180464</v>
      </c>
      <c r="J26" s="14">
        <v>21.530181965955137</v>
      </c>
      <c r="K26" s="14">
        <v>25.166858708934285</v>
      </c>
      <c r="L26" s="14">
        <v>0.22772658345998836</v>
      </c>
      <c r="M26" s="14">
        <v>23.989522864611388</v>
      </c>
      <c r="N26" s="14">
        <v>24.483174516599263</v>
      </c>
      <c r="O26" s="14">
        <v>3.636676742979148</v>
      </c>
      <c r="P26" s="17">
        <v>307200</v>
      </c>
      <c r="Q26" s="14">
        <v>-0.78467421381106917</v>
      </c>
      <c r="R26" s="4" t="s">
        <v>588</v>
      </c>
      <c r="S26" s="4" t="s">
        <v>589</v>
      </c>
    </row>
    <row r="27" spans="1:19">
      <c r="A27" s="4" t="s">
        <v>626</v>
      </c>
      <c r="B27" s="4" t="s">
        <v>82</v>
      </c>
      <c r="C27" s="4" t="s">
        <v>76</v>
      </c>
      <c r="D27" s="4" t="s">
        <v>585</v>
      </c>
      <c r="E27" s="4" t="s">
        <v>77</v>
      </c>
      <c r="F27" s="4" t="s">
        <v>627</v>
      </c>
      <c r="G27" s="4" t="s">
        <v>628</v>
      </c>
      <c r="H27" s="14">
        <v>23.350533426510125</v>
      </c>
      <c r="I27" s="14">
        <v>23.280172251248302</v>
      </c>
      <c r="J27" s="14">
        <v>22.215821999049012</v>
      </c>
      <c r="K27" s="14">
        <v>25.863435831134211</v>
      </c>
      <c r="L27" s="14">
        <v>0.36021521380425447</v>
      </c>
      <c r="M27" s="14">
        <v>23.102064784842582</v>
      </c>
      <c r="N27" s="14">
        <v>23.635460335601806</v>
      </c>
      <c r="O27" s="14">
        <v>3.6476138320851987</v>
      </c>
      <c r="P27" s="17">
        <v>307200</v>
      </c>
      <c r="Q27" s="14">
        <v>-1.6494665734898746</v>
      </c>
      <c r="R27" s="4" t="s">
        <v>588</v>
      </c>
      <c r="S27" s="4" t="s">
        <v>629</v>
      </c>
    </row>
    <row r="28" spans="1:19">
      <c r="A28" s="4" t="s">
        <v>626</v>
      </c>
      <c r="B28" s="4" t="s">
        <v>90</v>
      </c>
      <c r="C28" s="4" t="s">
        <v>96</v>
      </c>
      <c r="D28" s="4" t="s">
        <v>590</v>
      </c>
      <c r="E28" s="4" t="s">
        <v>77</v>
      </c>
      <c r="F28" s="4" t="s">
        <v>630</v>
      </c>
      <c r="G28" s="4" t="s">
        <v>631</v>
      </c>
      <c r="H28" s="14">
        <v>23.33514688979281</v>
      </c>
      <c r="I28" s="14">
        <v>23.280172251248302</v>
      </c>
      <c r="J28" s="14">
        <v>22.709131347279595</v>
      </c>
      <c r="K28" s="14">
        <v>25.793986894895738</v>
      </c>
      <c r="L28" s="14">
        <v>0.30199174029821224</v>
      </c>
      <c r="M28" s="14">
        <v>23.137711109897396</v>
      </c>
      <c r="N28" s="14">
        <v>23.635460335601806</v>
      </c>
      <c r="O28" s="14">
        <v>3.0848555476161437</v>
      </c>
      <c r="P28" s="17">
        <v>307200</v>
      </c>
      <c r="Q28" s="14">
        <v>-1.66485311020719</v>
      </c>
      <c r="R28" s="4" t="s">
        <v>588</v>
      </c>
      <c r="S28" s="4" t="s">
        <v>629</v>
      </c>
    </row>
    <row r="29" spans="1:19">
      <c r="A29" s="4" t="s">
        <v>626</v>
      </c>
      <c r="B29" s="4" t="s">
        <v>98</v>
      </c>
      <c r="C29" s="4" t="s">
        <v>108</v>
      </c>
      <c r="D29" s="4" t="s">
        <v>585</v>
      </c>
      <c r="E29" s="4" t="s">
        <v>77</v>
      </c>
      <c r="F29" s="4" t="s">
        <v>632</v>
      </c>
      <c r="G29" s="4" t="s">
        <v>633</v>
      </c>
      <c r="H29" s="14">
        <v>23.230761289867374</v>
      </c>
      <c r="I29" s="14">
        <v>23.208966487410294</v>
      </c>
      <c r="J29" s="14">
        <v>22.14386779122907</v>
      </c>
      <c r="K29" s="14">
        <v>25.524435501205915</v>
      </c>
      <c r="L29" s="14">
        <v>0.30164631518417701</v>
      </c>
      <c r="M29" s="14">
        <v>22.995051114388957</v>
      </c>
      <c r="N29" s="14">
        <v>23.493492853798955</v>
      </c>
      <c r="O29" s="14">
        <v>3.3805677099768445</v>
      </c>
      <c r="P29" s="17">
        <v>307200</v>
      </c>
      <c r="Q29" s="14">
        <v>-1.7692387101326261</v>
      </c>
      <c r="R29" s="4" t="s">
        <v>588</v>
      </c>
      <c r="S29" s="4" t="s">
        <v>629</v>
      </c>
    </row>
    <row r="30" spans="1:19">
      <c r="A30" s="4" t="s">
        <v>626</v>
      </c>
      <c r="B30" s="4" t="s">
        <v>103</v>
      </c>
      <c r="C30" s="4" t="s">
        <v>120</v>
      </c>
      <c r="D30" s="4" t="s">
        <v>590</v>
      </c>
      <c r="E30" s="4" t="s">
        <v>77</v>
      </c>
      <c r="F30" s="4" t="s">
        <v>634</v>
      </c>
      <c r="G30" s="4" t="s">
        <v>635</v>
      </c>
      <c r="H30" s="14">
        <v>23.254869898104587</v>
      </c>
      <c r="I30" s="14">
        <v>23.208966487410294</v>
      </c>
      <c r="J30" s="14">
        <v>22.017824829294739</v>
      </c>
      <c r="K30" s="14">
        <v>25.166858708934285</v>
      </c>
      <c r="L30" s="14">
        <v>0.27082226679039645</v>
      </c>
      <c r="M30" s="14">
        <v>23.057489382093536</v>
      </c>
      <c r="N30" s="14">
        <v>23.564501154446589</v>
      </c>
      <c r="O30" s="14">
        <v>3.1490338796395463</v>
      </c>
      <c r="P30" s="17">
        <v>307200</v>
      </c>
      <c r="Q30" s="14">
        <v>-1.7451301018954126</v>
      </c>
      <c r="R30" s="4" t="s">
        <v>588</v>
      </c>
      <c r="S30" s="4" t="s">
        <v>629</v>
      </c>
    </row>
    <row r="31" spans="1:19">
      <c r="A31" s="4" t="s">
        <v>626</v>
      </c>
      <c r="B31" s="4" t="s">
        <v>110</v>
      </c>
      <c r="C31" s="4" t="s">
        <v>132</v>
      </c>
      <c r="D31" s="4" t="s">
        <v>585</v>
      </c>
      <c r="E31" s="4" t="s">
        <v>77</v>
      </c>
      <c r="F31" s="4" t="s">
        <v>636</v>
      </c>
      <c r="G31" s="4" t="s">
        <v>637</v>
      </c>
      <c r="H31" s="14">
        <v>23.331882423268141</v>
      </c>
      <c r="I31" s="14">
        <v>23.280172251248302</v>
      </c>
      <c r="J31" s="14">
        <v>21.231013012014841</v>
      </c>
      <c r="K31" s="14">
        <v>25.724491802493901</v>
      </c>
      <c r="L31" s="14">
        <v>0.34014560457795096</v>
      </c>
      <c r="M31" s="14">
        <v>23.066406018924908</v>
      </c>
      <c r="N31" s="14">
        <v>23.493492853798955</v>
      </c>
      <c r="O31" s="14">
        <v>4.4934787904790596</v>
      </c>
      <c r="P31" s="17">
        <v>307200</v>
      </c>
      <c r="Q31" s="14">
        <v>-1.6681175767318592</v>
      </c>
      <c r="R31" s="4" t="s">
        <v>588</v>
      </c>
      <c r="S31" s="4" t="s">
        <v>629</v>
      </c>
    </row>
    <row r="32" spans="1:19">
      <c r="A32" s="4" t="s">
        <v>626</v>
      </c>
      <c r="B32" s="4" t="s">
        <v>115</v>
      </c>
      <c r="C32" s="4" t="s">
        <v>144</v>
      </c>
      <c r="D32" s="4" t="s">
        <v>590</v>
      </c>
      <c r="E32" s="4" t="s">
        <v>77</v>
      </c>
      <c r="F32" s="4" t="s">
        <v>638</v>
      </c>
      <c r="G32" s="4" t="s">
        <v>639</v>
      </c>
      <c r="H32" s="14">
        <v>23.276689122185047</v>
      </c>
      <c r="I32" s="14">
        <v>23.226772575761004</v>
      </c>
      <c r="J32" s="14">
        <v>21.738169631735445</v>
      </c>
      <c r="K32" s="14">
        <v>25.393757052248134</v>
      </c>
      <c r="L32" s="14">
        <v>0.28843883424118372</v>
      </c>
      <c r="M32" s="14">
        <v>23.066406018924908</v>
      </c>
      <c r="N32" s="14">
        <v>23.493492853798955</v>
      </c>
      <c r="O32" s="14">
        <v>3.6555874205126884</v>
      </c>
      <c r="P32" s="17">
        <v>307200</v>
      </c>
      <c r="Q32" s="14">
        <v>-1.7233108778149528</v>
      </c>
      <c r="R32" s="4" t="s">
        <v>588</v>
      </c>
      <c r="S32" s="4" t="s">
        <v>629</v>
      </c>
    </row>
    <row r="33" spans="1:19">
      <c r="A33" s="4" t="s">
        <v>626</v>
      </c>
      <c r="B33" s="4" t="s">
        <v>122</v>
      </c>
      <c r="C33" s="4" t="s">
        <v>156</v>
      </c>
      <c r="D33" s="4" t="s">
        <v>585</v>
      </c>
      <c r="E33" s="4" t="s">
        <v>77</v>
      </c>
      <c r="F33" s="4" t="s">
        <v>640</v>
      </c>
      <c r="G33" s="4" t="s">
        <v>641</v>
      </c>
      <c r="H33" s="14">
        <v>23.581593336130222</v>
      </c>
      <c r="I33" s="14">
        <v>23.564501154446589</v>
      </c>
      <c r="J33" s="14">
        <v>22.718078492789289</v>
      </c>
      <c r="K33" s="14">
        <v>25.463472605920515</v>
      </c>
      <c r="L33" s="14">
        <v>0.2082890723242331</v>
      </c>
      <c r="M33" s="14">
        <v>23.422435335449904</v>
      </c>
      <c r="N33" s="14">
        <v>23.70637049516273</v>
      </c>
      <c r="O33" s="14">
        <v>2.7453941131312263</v>
      </c>
      <c r="P33" s="17">
        <v>307200</v>
      </c>
      <c r="Q33" s="14">
        <v>-1.4184066638697779</v>
      </c>
      <c r="R33" s="4" t="s">
        <v>588</v>
      </c>
      <c r="S33" s="4" t="s">
        <v>629</v>
      </c>
    </row>
    <row r="34" spans="1:19">
      <c r="A34" s="4" t="s">
        <v>626</v>
      </c>
      <c r="B34" s="4" t="s">
        <v>127</v>
      </c>
      <c r="C34" s="4" t="s">
        <v>603</v>
      </c>
      <c r="D34" s="4" t="s">
        <v>590</v>
      </c>
      <c r="E34" s="4" t="s">
        <v>169</v>
      </c>
      <c r="F34" s="4" t="s">
        <v>642</v>
      </c>
      <c r="G34" s="4" t="s">
        <v>643</v>
      </c>
      <c r="H34" s="14">
        <v>23.806983045101088</v>
      </c>
      <c r="I34" s="14">
        <v>23.777231730717517</v>
      </c>
      <c r="J34" s="14">
        <v>21.86456133346644</v>
      </c>
      <c r="K34" s="14">
        <v>25.73318121624726</v>
      </c>
      <c r="L34" s="14">
        <v>0.23508893602038786</v>
      </c>
      <c r="M34" s="14">
        <v>23.635460335601806</v>
      </c>
      <c r="N34" s="14">
        <v>23.989522864611388</v>
      </c>
      <c r="O34" s="14">
        <v>3.8686198827808198</v>
      </c>
      <c r="P34" s="17">
        <v>307200</v>
      </c>
      <c r="Q34" s="14">
        <v>-1.193016954898912</v>
      </c>
      <c r="R34" s="4" t="s">
        <v>588</v>
      </c>
      <c r="S34" s="4" t="s">
        <v>629</v>
      </c>
    </row>
    <row r="35" spans="1:19">
      <c r="A35" s="4" t="s">
        <v>626</v>
      </c>
      <c r="B35" s="4" t="s">
        <v>134</v>
      </c>
      <c r="C35" s="4" t="s">
        <v>181</v>
      </c>
      <c r="D35" s="4" t="s">
        <v>585</v>
      </c>
      <c r="E35" s="4" t="s">
        <v>77</v>
      </c>
      <c r="F35" s="4" t="s">
        <v>644</v>
      </c>
      <c r="G35" s="4" t="s">
        <v>645</v>
      </c>
      <c r="H35" s="14">
        <v>24.082354965721049</v>
      </c>
      <c r="I35" s="14">
        <v>24.060189373878131</v>
      </c>
      <c r="J35" s="14">
        <v>22.224812685039865</v>
      </c>
      <c r="K35" s="14">
        <v>25.035730358554531</v>
      </c>
      <c r="L35" s="14">
        <v>0.20154806525460917</v>
      </c>
      <c r="M35" s="14">
        <v>23.918807818621701</v>
      </c>
      <c r="N35" s="14">
        <v>24.342371960394473</v>
      </c>
      <c r="O35" s="14">
        <v>2.8109176735146661</v>
      </c>
      <c r="P35" s="17">
        <v>307200</v>
      </c>
      <c r="Q35" s="14">
        <v>-0.9176450342789515</v>
      </c>
      <c r="R35" s="4" t="s">
        <v>588</v>
      </c>
      <c r="S35" s="4" t="s">
        <v>629</v>
      </c>
    </row>
    <row r="36" spans="1:19">
      <c r="A36" s="4" t="s">
        <v>626</v>
      </c>
      <c r="B36" s="4" t="s">
        <v>139</v>
      </c>
      <c r="C36" s="4" t="s">
        <v>608</v>
      </c>
      <c r="D36" s="4" t="s">
        <v>590</v>
      </c>
      <c r="E36" s="4" t="s">
        <v>169</v>
      </c>
      <c r="F36" s="4" t="s">
        <v>646</v>
      </c>
      <c r="G36" s="4" t="s">
        <v>647</v>
      </c>
      <c r="H36" s="14">
        <v>23.870246453783761</v>
      </c>
      <c r="I36" s="14">
        <v>23.848044139546232</v>
      </c>
      <c r="J36" s="14">
        <v>21.158353018399623</v>
      </c>
      <c r="K36" s="14">
        <v>26.75350712698588</v>
      </c>
      <c r="L36" s="14">
        <v>0.21218751348741594</v>
      </c>
      <c r="M36" s="14">
        <v>23.670921536975072</v>
      </c>
      <c r="N36" s="14">
        <v>24.130807442481796</v>
      </c>
      <c r="O36" s="14">
        <v>5.5951541085862573</v>
      </c>
      <c r="P36" s="17">
        <v>307200</v>
      </c>
      <c r="Q36" s="14">
        <v>-1.1297535462162394</v>
      </c>
      <c r="R36" s="4" t="s">
        <v>588</v>
      </c>
      <c r="S36" s="4" t="s">
        <v>629</v>
      </c>
    </row>
    <row r="37" spans="1:19">
      <c r="A37" s="4" t="s">
        <v>626</v>
      </c>
      <c r="B37" s="4" t="s">
        <v>146</v>
      </c>
      <c r="C37" s="4" t="s">
        <v>205</v>
      </c>
      <c r="D37" s="4" t="s">
        <v>585</v>
      </c>
      <c r="E37" s="4" t="s">
        <v>77</v>
      </c>
      <c r="F37" s="4" t="s">
        <v>648</v>
      </c>
      <c r="G37" s="4" t="s">
        <v>649</v>
      </c>
      <c r="H37" s="14">
        <v>23.391688393280869</v>
      </c>
      <c r="I37" s="14">
        <v>23.369109838316604</v>
      </c>
      <c r="J37" s="14">
        <v>21.085640437108111</v>
      </c>
      <c r="K37" s="14">
        <v>24.121982829729177</v>
      </c>
      <c r="L37" s="14">
        <v>0.21592136317168859</v>
      </c>
      <c r="M37" s="14">
        <v>23.137711109897396</v>
      </c>
      <c r="N37" s="14">
        <v>23.635460335601806</v>
      </c>
      <c r="O37" s="14">
        <v>3.0363423926210658</v>
      </c>
      <c r="P37" s="17">
        <v>307200</v>
      </c>
      <c r="Q37" s="14">
        <v>-1.6083116067191305</v>
      </c>
      <c r="R37" s="4" t="s">
        <v>588</v>
      </c>
      <c r="S37" s="4" t="s">
        <v>629</v>
      </c>
    </row>
    <row r="38" spans="1:19">
      <c r="A38" s="4" t="s">
        <v>626</v>
      </c>
      <c r="B38" s="4" t="s">
        <v>151</v>
      </c>
      <c r="C38" s="4" t="s">
        <v>217</v>
      </c>
      <c r="D38" s="4" t="s">
        <v>590</v>
      </c>
      <c r="E38" s="4" t="s">
        <v>77</v>
      </c>
      <c r="F38" s="4" t="s">
        <v>650</v>
      </c>
      <c r="G38" s="4" t="s">
        <v>651</v>
      </c>
      <c r="H38" s="14">
        <v>23.708377178376455</v>
      </c>
      <c r="I38" s="14">
        <v>23.635460335601806</v>
      </c>
      <c r="J38" s="14">
        <v>21.981783714399853</v>
      </c>
      <c r="K38" s="14">
        <v>25.70711080707423</v>
      </c>
      <c r="L38" s="14">
        <v>0.29159218765705824</v>
      </c>
      <c r="M38" s="14">
        <v>23.493492853798955</v>
      </c>
      <c r="N38" s="14">
        <v>23.989522864611388</v>
      </c>
      <c r="O38" s="14">
        <v>3.7253270926743767</v>
      </c>
      <c r="P38" s="17">
        <v>307200</v>
      </c>
      <c r="Q38" s="14">
        <v>-1.2916228216235446</v>
      </c>
      <c r="R38" s="4" t="s">
        <v>588</v>
      </c>
      <c r="S38" s="4" t="s">
        <v>629</v>
      </c>
    </row>
    <row r="39" spans="1:19">
      <c r="A39" s="4" t="s">
        <v>626</v>
      </c>
      <c r="B39" s="4" t="s">
        <v>158</v>
      </c>
      <c r="C39" s="4" t="s">
        <v>615</v>
      </c>
      <c r="D39" s="4" t="s">
        <v>585</v>
      </c>
      <c r="E39" s="4" t="s">
        <v>169</v>
      </c>
      <c r="F39" s="4" t="s">
        <v>652</v>
      </c>
      <c r="G39" s="4" t="s">
        <v>653</v>
      </c>
      <c r="H39" s="14">
        <v>23.622781954069957</v>
      </c>
      <c r="I39" s="14">
        <v>23.564501154446589</v>
      </c>
      <c r="J39" s="14">
        <v>22.870059865324095</v>
      </c>
      <c r="K39" s="14">
        <v>26.451900695198162</v>
      </c>
      <c r="L39" s="14">
        <v>0.28750915592475784</v>
      </c>
      <c r="M39" s="14">
        <v>23.351328500878083</v>
      </c>
      <c r="N39" s="14">
        <v>23.848044139546232</v>
      </c>
      <c r="O39" s="14">
        <v>3.5818408298740678</v>
      </c>
      <c r="P39" s="17">
        <v>307200</v>
      </c>
      <c r="Q39" s="14">
        <v>-1.3772180459300429</v>
      </c>
      <c r="R39" s="4" t="s">
        <v>588</v>
      </c>
      <c r="S39" s="4" t="s">
        <v>629</v>
      </c>
    </row>
    <row r="40" spans="1:19">
      <c r="A40" s="4" t="s">
        <v>626</v>
      </c>
      <c r="B40" s="4" t="s">
        <v>163</v>
      </c>
      <c r="C40" s="4" t="s">
        <v>618</v>
      </c>
      <c r="D40" s="4" t="s">
        <v>590</v>
      </c>
      <c r="E40" s="4" t="s">
        <v>169</v>
      </c>
      <c r="F40" s="4" t="s">
        <v>654</v>
      </c>
      <c r="G40" s="4" t="s">
        <v>655</v>
      </c>
      <c r="H40" s="14">
        <v>23.632134913923661</v>
      </c>
      <c r="I40" s="14">
        <v>23.635460335601806</v>
      </c>
      <c r="J40" s="14">
        <v>21.367109139374293</v>
      </c>
      <c r="K40" s="14">
        <v>25.898143018417159</v>
      </c>
      <c r="L40" s="14">
        <v>0.23630714962364885</v>
      </c>
      <c r="M40" s="14">
        <v>23.422435335449904</v>
      </c>
      <c r="N40" s="14">
        <v>23.901121461975492</v>
      </c>
      <c r="O40" s="14">
        <v>4.5310338790428659</v>
      </c>
      <c r="P40" s="17">
        <v>307200</v>
      </c>
      <c r="Q40" s="14">
        <v>-1.3678650860763391</v>
      </c>
      <c r="R40" s="4" t="s">
        <v>588</v>
      </c>
      <c r="S40" s="4" t="s">
        <v>629</v>
      </c>
    </row>
    <row r="41" spans="1:19">
      <c r="A41" s="4" t="s">
        <v>626</v>
      </c>
      <c r="B41" s="4" t="s">
        <v>171</v>
      </c>
      <c r="C41" s="4" t="s">
        <v>254</v>
      </c>
      <c r="D41" s="4" t="s">
        <v>585</v>
      </c>
      <c r="E41" s="4" t="s">
        <v>77</v>
      </c>
      <c r="F41" s="4" t="s">
        <v>656</v>
      </c>
      <c r="G41" s="4" t="s">
        <v>657</v>
      </c>
      <c r="H41" s="14">
        <v>23.79040251010596</v>
      </c>
      <c r="I41" s="14">
        <v>23.777231730717517</v>
      </c>
      <c r="J41" s="14">
        <v>22.098870452739334</v>
      </c>
      <c r="K41" s="14">
        <v>25.026982582918606</v>
      </c>
      <c r="L41" s="14">
        <v>0.19498896597659074</v>
      </c>
      <c r="M41" s="14">
        <v>23.599986878834898</v>
      </c>
      <c r="N41" s="14">
        <v>24.060189373878131</v>
      </c>
      <c r="O41" s="14">
        <v>2.9281121301792723</v>
      </c>
      <c r="P41" s="17">
        <v>307200</v>
      </c>
      <c r="Q41" s="14">
        <v>-1.2095974898940405</v>
      </c>
      <c r="R41" s="4" t="s">
        <v>588</v>
      </c>
      <c r="S41" s="4" t="s">
        <v>629</v>
      </c>
    </row>
    <row r="42" spans="1:19">
      <c r="A42" s="4" t="s">
        <v>626</v>
      </c>
      <c r="B42" s="4" t="s">
        <v>176</v>
      </c>
      <c r="C42" s="4" t="s">
        <v>623</v>
      </c>
      <c r="D42" s="4" t="s">
        <v>590</v>
      </c>
      <c r="E42" s="4" t="s">
        <v>169</v>
      </c>
      <c r="F42" s="4" t="s">
        <v>658</v>
      </c>
      <c r="G42" s="4" t="s">
        <v>659</v>
      </c>
      <c r="H42" s="14">
        <v>23.93088431954466</v>
      </c>
      <c r="I42" s="14">
        <v>23.901121461975492</v>
      </c>
      <c r="J42" s="14">
        <v>22.655431956365248</v>
      </c>
      <c r="K42" s="14">
        <v>26.322375642508064</v>
      </c>
      <c r="L42" s="14">
        <v>0.31447544316091025</v>
      </c>
      <c r="M42" s="14">
        <v>23.70637049516273</v>
      </c>
      <c r="N42" s="14">
        <v>24.130807442481796</v>
      </c>
      <c r="O42" s="14">
        <v>3.6669436861428153</v>
      </c>
      <c r="P42" s="17">
        <v>307200</v>
      </c>
      <c r="Q42" s="14">
        <v>-1.0691156804553401</v>
      </c>
      <c r="R42" s="4" t="s">
        <v>588</v>
      </c>
      <c r="S42" s="4" t="s">
        <v>629</v>
      </c>
    </row>
    <row r="43" spans="1:19">
      <c r="A43" s="4" t="s">
        <v>81</v>
      </c>
      <c r="B43" s="4" t="s">
        <v>82</v>
      </c>
      <c r="C43" s="4" t="s">
        <v>76</v>
      </c>
      <c r="D43" s="4" t="s">
        <v>660</v>
      </c>
      <c r="E43" s="4" t="s">
        <v>77</v>
      </c>
      <c r="F43" s="4" t="s">
        <v>83</v>
      </c>
      <c r="G43" s="4" t="s">
        <v>84</v>
      </c>
      <c r="H43" s="14">
        <v>25.538009799131377</v>
      </c>
      <c r="I43" s="14">
        <v>25.576661071774936</v>
      </c>
      <c r="J43" s="14">
        <v>24.5447153782481</v>
      </c>
      <c r="K43" s="14">
        <v>26.564026828859767</v>
      </c>
      <c r="L43" s="14">
        <v>0.59530752922514463</v>
      </c>
      <c r="M43" s="14">
        <v>24.720345018523744</v>
      </c>
      <c r="N43" s="14">
        <v>26.34829342789908</v>
      </c>
      <c r="O43" s="14">
        <v>2.0193114506116672</v>
      </c>
      <c r="P43" s="17">
        <v>12039</v>
      </c>
      <c r="Q43" s="14">
        <v>0.53800979913137681</v>
      </c>
      <c r="R43" s="4" t="s">
        <v>661</v>
      </c>
      <c r="S43" s="4" t="s">
        <v>662</v>
      </c>
    </row>
    <row r="44" spans="1:19">
      <c r="A44" s="4" t="s">
        <v>81</v>
      </c>
      <c r="B44" s="4" t="s">
        <v>90</v>
      </c>
      <c r="C44" s="4" t="s">
        <v>76</v>
      </c>
      <c r="D44" s="4" t="s">
        <v>663</v>
      </c>
      <c r="E44" s="4" t="s">
        <v>77</v>
      </c>
      <c r="F44" s="4" t="s">
        <v>91</v>
      </c>
      <c r="G44" s="4" t="s">
        <v>92</v>
      </c>
      <c r="H44" s="14">
        <v>23.446142850544295</v>
      </c>
      <c r="I44" s="14">
        <v>23.422435335449904</v>
      </c>
      <c r="J44" s="14">
        <v>23.182251540298068</v>
      </c>
      <c r="K44" s="14">
        <v>25.993528489846426</v>
      </c>
      <c r="L44" s="14">
        <v>0.17216599746893863</v>
      </c>
      <c r="M44" s="14">
        <v>23.351328500878083</v>
      </c>
      <c r="N44" s="14">
        <v>23.511249539278765</v>
      </c>
      <c r="O44" s="14">
        <v>2.8112769495483576</v>
      </c>
      <c r="P44" s="17">
        <v>158443</v>
      </c>
      <c r="Q44" s="14">
        <v>-1.5538571494557054</v>
      </c>
      <c r="R44" s="4" t="s">
        <v>661</v>
      </c>
      <c r="S44" s="4" t="s">
        <v>662</v>
      </c>
    </row>
    <row r="45" spans="1:19">
      <c r="A45" s="4" t="s">
        <v>81</v>
      </c>
      <c r="B45" s="4" t="s">
        <v>98</v>
      </c>
      <c r="C45" s="4" t="s">
        <v>96</v>
      </c>
      <c r="D45" s="4" t="s">
        <v>660</v>
      </c>
      <c r="E45" s="4" t="s">
        <v>77</v>
      </c>
      <c r="F45" s="4" t="s">
        <v>99</v>
      </c>
      <c r="G45" s="4" t="s">
        <v>100</v>
      </c>
      <c r="H45" s="14">
        <v>25.05125721033199</v>
      </c>
      <c r="I45" s="14">
        <v>24.886917857061633</v>
      </c>
      <c r="J45" s="14">
        <v>24.051358711285616</v>
      </c>
      <c r="K45" s="14">
        <v>27.891824970401217</v>
      </c>
      <c r="L45" s="14">
        <v>0.69124352887217233</v>
      </c>
      <c r="M45" s="14">
        <v>24.32475813967568</v>
      </c>
      <c r="N45" s="14">
        <v>26.132116136509637</v>
      </c>
      <c r="O45" s="14">
        <v>3.8404662591156011</v>
      </c>
      <c r="P45" s="17">
        <v>5927</v>
      </c>
      <c r="Q45" s="14">
        <v>5.1257210331989711E-2</v>
      </c>
      <c r="R45" s="4" t="s">
        <v>661</v>
      </c>
      <c r="S45" s="4" t="s">
        <v>662</v>
      </c>
    </row>
    <row r="46" spans="1:19">
      <c r="A46" s="4" t="s">
        <v>81</v>
      </c>
      <c r="B46" s="4" t="s">
        <v>103</v>
      </c>
      <c r="C46" s="4" t="s">
        <v>96</v>
      </c>
      <c r="D46" s="4" t="s">
        <v>663</v>
      </c>
      <c r="E46" s="4" t="s">
        <v>77</v>
      </c>
      <c r="F46" s="4" t="s">
        <v>104</v>
      </c>
      <c r="G46" s="4" t="s">
        <v>105</v>
      </c>
      <c r="H46" s="14">
        <v>26.327707804545426</v>
      </c>
      <c r="I46" s="14">
        <v>26.469158650486918</v>
      </c>
      <c r="J46" s="14">
        <v>25.114427216609727</v>
      </c>
      <c r="K46" s="14">
        <v>27.319915475801963</v>
      </c>
      <c r="L46" s="14">
        <v>0.6216673729404143</v>
      </c>
      <c r="M46" s="14">
        <v>25.393757052248134</v>
      </c>
      <c r="N46" s="14">
        <v>27.054253191449448</v>
      </c>
      <c r="O46" s="14">
        <v>2.2054882591922365</v>
      </c>
      <c r="P46" s="17">
        <v>4348</v>
      </c>
      <c r="Q46" s="14">
        <v>1.327707804545426</v>
      </c>
      <c r="R46" s="4" t="s">
        <v>661</v>
      </c>
      <c r="S46" s="4" t="s">
        <v>662</v>
      </c>
    </row>
    <row r="47" spans="1:19">
      <c r="A47" s="4" t="s">
        <v>81</v>
      </c>
      <c r="B47" s="4" t="s">
        <v>110</v>
      </c>
      <c r="C47" s="4" t="s">
        <v>108</v>
      </c>
      <c r="D47" s="4" t="s">
        <v>660</v>
      </c>
      <c r="E47" s="4" t="s">
        <v>77</v>
      </c>
      <c r="F47" s="4" t="s">
        <v>111</v>
      </c>
      <c r="G47" s="4" t="s">
        <v>112</v>
      </c>
      <c r="H47" s="14">
        <v>26.180443419545441</v>
      </c>
      <c r="I47" s="14">
        <v>26.374204821297553</v>
      </c>
      <c r="J47" s="14">
        <v>25.044477397653282</v>
      </c>
      <c r="K47" s="14">
        <v>26.908283540863579</v>
      </c>
      <c r="L47" s="14">
        <v>0.50099642255951504</v>
      </c>
      <c r="M47" s="14">
        <v>25.376320874953706</v>
      </c>
      <c r="N47" s="14">
        <v>26.676033646904102</v>
      </c>
      <c r="O47" s="14">
        <v>1.8638061432102973</v>
      </c>
      <c r="P47" s="17">
        <v>8739</v>
      </c>
      <c r="Q47" s="14">
        <v>1.1804434195454405</v>
      </c>
      <c r="R47" s="4" t="s">
        <v>661</v>
      </c>
      <c r="S47" s="4" t="s">
        <v>662</v>
      </c>
    </row>
    <row r="48" spans="1:19">
      <c r="A48" s="4" t="s">
        <v>81</v>
      </c>
      <c r="B48" s="4" t="s">
        <v>115</v>
      </c>
      <c r="C48" s="4" t="s">
        <v>108</v>
      </c>
      <c r="D48" s="4" t="s">
        <v>663</v>
      </c>
      <c r="E48" s="4" t="s">
        <v>77</v>
      </c>
      <c r="F48" s="4" t="s">
        <v>116</v>
      </c>
      <c r="G48" s="4" t="s">
        <v>117</v>
      </c>
      <c r="H48" s="14">
        <v>26.232168738435153</v>
      </c>
      <c r="I48" s="14">
        <v>26.365568400103996</v>
      </c>
      <c r="J48" s="14">
        <v>25.026982582918606</v>
      </c>
      <c r="K48" s="14">
        <v>27.028508491935554</v>
      </c>
      <c r="L48" s="14">
        <v>0.56367929825910912</v>
      </c>
      <c r="M48" s="14">
        <v>25.393757052248134</v>
      </c>
      <c r="N48" s="14">
        <v>26.910001948247849</v>
      </c>
      <c r="O48" s="14">
        <v>2.0015259090169479</v>
      </c>
      <c r="P48" s="17">
        <v>5619</v>
      </c>
      <c r="Q48" s="14">
        <v>1.2321687384351527</v>
      </c>
      <c r="R48" s="4" t="s">
        <v>661</v>
      </c>
      <c r="S48" s="4" t="s">
        <v>662</v>
      </c>
    </row>
    <row r="49" spans="1:19">
      <c r="A49" s="4" t="s">
        <v>81</v>
      </c>
      <c r="B49" s="4" t="s">
        <v>122</v>
      </c>
      <c r="C49" s="4" t="s">
        <v>120</v>
      </c>
      <c r="D49" s="4" t="s">
        <v>660</v>
      </c>
      <c r="E49" s="4" t="s">
        <v>77</v>
      </c>
      <c r="F49" s="4" t="s">
        <v>123</v>
      </c>
      <c r="G49" s="4" t="s">
        <v>124</v>
      </c>
      <c r="H49" s="14">
        <v>25.035619074755193</v>
      </c>
      <c r="I49" s="14">
        <v>24.930708388102346</v>
      </c>
      <c r="J49" s="14">
        <v>24.139631299845576</v>
      </c>
      <c r="K49" s="14">
        <v>28.291188599237501</v>
      </c>
      <c r="L49" s="14">
        <v>0.56658874259039604</v>
      </c>
      <c r="M49" s="14">
        <v>24.491968310726804</v>
      </c>
      <c r="N49" s="14">
        <v>25.463472605920515</v>
      </c>
      <c r="O49" s="14">
        <v>4.151557299391925</v>
      </c>
      <c r="P49" s="17">
        <v>8257</v>
      </c>
      <c r="Q49" s="14">
        <v>3.561907475519277E-2</v>
      </c>
      <c r="R49" s="4" t="s">
        <v>661</v>
      </c>
      <c r="S49" s="4" t="s">
        <v>662</v>
      </c>
    </row>
    <row r="50" spans="1:19">
      <c r="A50" s="4" t="s">
        <v>81</v>
      </c>
      <c r="B50" s="4" t="s">
        <v>127</v>
      </c>
      <c r="C50" s="4" t="s">
        <v>120</v>
      </c>
      <c r="D50" s="4" t="s">
        <v>663</v>
      </c>
      <c r="E50" s="4" t="s">
        <v>77</v>
      </c>
      <c r="F50" s="4" t="s">
        <v>128</v>
      </c>
      <c r="G50" s="4" t="s">
        <v>129</v>
      </c>
      <c r="H50" s="14">
        <v>25.370568224584765</v>
      </c>
      <c r="I50" s="14">
        <v>25.341439763825576</v>
      </c>
      <c r="J50" s="14">
        <v>24.641348548129372</v>
      </c>
      <c r="K50" s="14">
        <v>27.422573818188027</v>
      </c>
      <c r="L50" s="14">
        <v>0.43313523175188279</v>
      </c>
      <c r="M50" s="14">
        <v>24.8255800454736</v>
      </c>
      <c r="N50" s="14">
        <v>25.915492296691241</v>
      </c>
      <c r="O50" s="14">
        <v>2.7812252700586555</v>
      </c>
      <c r="P50" s="17">
        <v>5583</v>
      </c>
      <c r="Q50" s="14">
        <v>0.37056822458476546</v>
      </c>
      <c r="R50" s="4" t="s">
        <v>661</v>
      </c>
      <c r="S50" s="4" t="s">
        <v>662</v>
      </c>
    </row>
    <row r="51" spans="1:19">
      <c r="A51" s="4" t="s">
        <v>81</v>
      </c>
      <c r="B51" s="4" t="s">
        <v>134</v>
      </c>
      <c r="C51" s="4" t="s">
        <v>132</v>
      </c>
      <c r="D51" s="4" t="s">
        <v>660</v>
      </c>
      <c r="E51" s="4" t="s">
        <v>77</v>
      </c>
      <c r="F51" s="4" t="s">
        <v>135</v>
      </c>
      <c r="G51" s="4" t="s">
        <v>136</v>
      </c>
      <c r="H51" s="14">
        <v>25.710670969367822</v>
      </c>
      <c r="I51" s="14">
        <v>25.741869907594889</v>
      </c>
      <c r="J51" s="14">
        <v>24.737891611606074</v>
      </c>
      <c r="K51" s="14">
        <v>27.627592896126828</v>
      </c>
      <c r="L51" s="14">
        <v>0.51214388535118116</v>
      </c>
      <c r="M51" s="14">
        <v>24.974480451768613</v>
      </c>
      <c r="N51" s="14">
        <v>26.296451460550713</v>
      </c>
      <c r="O51" s="14">
        <v>2.8897012845207541</v>
      </c>
      <c r="P51" s="17">
        <v>9232</v>
      </c>
      <c r="Q51" s="14">
        <v>0.71067096936782193</v>
      </c>
      <c r="R51" s="4" t="s">
        <v>661</v>
      </c>
      <c r="S51" s="4" t="s">
        <v>662</v>
      </c>
    </row>
    <row r="52" spans="1:19">
      <c r="A52" s="4" t="s">
        <v>81</v>
      </c>
      <c r="B52" s="4" t="s">
        <v>139</v>
      </c>
      <c r="C52" s="4" t="s">
        <v>132</v>
      </c>
      <c r="D52" s="4" t="s">
        <v>663</v>
      </c>
      <c r="E52" s="4" t="s">
        <v>77</v>
      </c>
      <c r="F52" s="4" t="s">
        <v>140</v>
      </c>
      <c r="G52" s="4" t="s">
        <v>141</v>
      </c>
      <c r="H52" s="14">
        <v>26.582684310236822</v>
      </c>
      <c r="I52" s="14">
        <v>26.75350712698588</v>
      </c>
      <c r="J52" s="14">
        <v>25.32399482716238</v>
      </c>
      <c r="K52" s="14">
        <v>28.053450000451505</v>
      </c>
      <c r="L52" s="14">
        <v>0.56133923855581247</v>
      </c>
      <c r="M52" s="14">
        <v>25.698419225059752</v>
      </c>
      <c r="N52" s="14">
        <v>27.131449693950628</v>
      </c>
      <c r="O52" s="14">
        <v>2.729455173289125</v>
      </c>
      <c r="P52" s="17">
        <v>7157</v>
      </c>
      <c r="Q52" s="14">
        <v>1.5826843102368215</v>
      </c>
      <c r="R52" s="4" t="s">
        <v>661</v>
      </c>
      <c r="S52" s="4" t="s">
        <v>662</v>
      </c>
    </row>
    <row r="53" spans="1:19">
      <c r="A53" s="4" t="s">
        <v>81</v>
      </c>
      <c r="B53" s="4" t="s">
        <v>146</v>
      </c>
      <c r="C53" s="4" t="s">
        <v>144</v>
      </c>
      <c r="D53" s="4" t="s">
        <v>660</v>
      </c>
      <c r="E53" s="4" t="s">
        <v>77</v>
      </c>
      <c r="F53" s="4" t="s">
        <v>147</v>
      </c>
      <c r="G53" s="4" t="s">
        <v>148</v>
      </c>
      <c r="H53" s="14">
        <v>26.297341671872658</v>
      </c>
      <c r="I53" s="14">
        <v>26.374204821297553</v>
      </c>
      <c r="J53" s="14">
        <v>25.131907318514664</v>
      </c>
      <c r="K53" s="14">
        <v>29.639668656780202</v>
      </c>
      <c r="L53" s="14">
        <v>0.62387775422024117</v>
      </c>
      <c r="M53" s="14">
        <v>25.419905849327336</v>
      </c>
      <c r="N53" s="14">
        <v>26.848119691341935</v>
      </c>
      <c r="O53" s="14">
        <v>4.5077613382655386</v>
      </c>
      <c r="P53" s="17">
        <v>9989</v>
      </c>
      <c r="Q53" s="14">
        <v>1.2973416718726583</v>
      </c>
      <c r="R53" s="4" t="s">
        <v>661</v>
      </c>
      <c r="S53" s="4" t="s">
        <v>662</v>
      </c>
    </row>
    <row r="54" spans="1:19">
      <c r="A54" s="4" t="s">
        <v>81</v>
      </c>
      <c r="B54" s="4" t="s">
        <v>151</v>
      </c>
      <c r="C54" s="4" t="s">
        <v>144</v>
      </c>
      <c r="D54" s="4" t="s">
        <v>663</v>
      </c>
      <c r="E54" s="4" t="s">
        <v>77</v>
      </c>
      <c r="F54" s="4" t="s">
        <v>152</v>
      </c>
      <c r="G54" s="4" t="s">
        <v>153</v>
      </c>
      <c r="H54" s="14">
        <v>26.382624366778394</v>
      </c>
      <c r="I54" s="14">
        <v>26.503666068122754</v>
      </c>
      <c r="J54" s="14">
        <v>25.393757052248134</v>
      </c>
      <c r="K54" s="14">
        <v>27.182882743152618</v>
      </c>
      <c r="L54" s="14">
        <v>0.50724190081450204</v>
      </c>
      <c r="M54" s="14">
        <v>25.594063789048448</v>
      </c>
      <c r="N54" s="14">
        <v>26.977000268286929</v>
      </c>
      <c r="O54" s="14">
        <v>1.7891256909044841</v>
      </c>
      <c r="P54" s="17">
        <v>6486</v>
      </c>
      <c r="Q54" s="14">
        <v>1.3826243667783942</v>
      </c>
      <c r="R54" s="4" t="s">
        <v>661</v>
      </c>
      <c r="S54" s="4" t="s">
        <v>662</v>
      </c>
    </row>
    <row r="55" spans="1:19">
      <c r="A55" s="4" t="s">
        <v>81</v>
      </c>
      <c r="B55" s="4" t="s">
        <v>158</v>
      </c>
      <c r="C55" s="4" t="s">
        <v>156</v>
      </c>
      <c r="D55" s="4" t="s">
        <v>660</v>
      </c>
      <c r="E55" s="4" t="s">
        <v>77</v>
      </c>
      <c r="F55" s="4" t="s">
        <v>159</v>
      </c>
      <c r="G55" s="4" t="s">
        <v>160</v>
      </c>
      <c r="H55" s="14">
        <v>26.247659986897318</v>
      </c>
      <c r="I55" s="14">
        <v>26.356931269027598</v>
      </c>
      <c r="J55" s="14">
        <v>25.166858708934285</v>
      </c>
      <c r="K55" s="14">
        <v>27.122875087271268</v>
      </c>
      <c r="L55" s="14">
        <v>0.56171841177750759</v>
      </c>
      <c r="M55" s="14">
        <v>25.411190312580572</v>
      </c>
      <c r="N55" s="14">
        <v>26.98558671634521</v>
      </c>
      <c r="O55" s="14">
        <v>1.9560163783369831</v>
      </c>
      <c r="P55" s="17">
        <v>6934</v>
      </c>
      <c r="Q55" s="14">
        <v>1.2476599868973182</v>
      </c>
      <c r="R55" s="4" t="s">
        <v>661</v>
      </c>
      <c r="S55" s="4" t="s">
        <v>662</v>
      </c>
    </row>
    <row r="56" spans="1:19">
      <c r="A56" s="4" t="s">
        <v>81</v>
      </c>
      <c r="B56" s="4" t="s">
        <v>163</v>
      </c>
      <c r="C56" s="4" t="s">
        <v>156</v>
      </c>
      <c r="D56" s="4" t="s">
        <v>663</v>
      </c>
      <c r="E56" s="4" t="s">
        <v>77</v>
      </c>
      <c r="F56" s="4" t="s">
        <v>164</v>
      </c>
      <c r="G56" s="4" t="s">
        <v>165</v>
      </c>
      <c r="H56" s="14">
        <v>26.235427036682271</v>
      </c>
      <c r="I56" s="14">
        <v>26.339654876549275</v>
      </c>
      <c r="J56" s="14">
        <v>25.14064626752554</v>
      </c>
      <c r="K56" s="14">
        <v>27.242856388340897</v>
      </c>
      <c r="L56" s="14">
        <v>0.53929611839107916</v>
      </c>
      <c r="M56" s="14">
        <v>25.411190312580572</v>
      </c>
      <c r="N56" s="14">
        <v>26.85671662718903</v>
      </c>
      <c r="O56" s="14">
        <v>2.1022101208153572</v>
      </c>
      <c r="P56" s="17">
        <v>4859</v>
      </c>
      <c r="Q56" s="14">
        <v>1.2354270366822711</v>
      </c>
      <c r="R56" s="4" t="s">
        <v>661</v>
      </c>
      <c r="S56" s="4" t="s">
        <v>662</v>
      </c>
    </row>
    <row r="57" spans="1:19">
      <c r="A57" s="4" t="s">
        <v>81</v>
      </c>
      <c r="B57" s="4" t="s">
        <v>171</v>
      </c>
      <c r="C57" s="4" t="s">
        <v>603</v>
      </c>
      <c r="D57" s="4" t="s">
        <v>660</v>
      </c>
      <c r="E57" s="4" t="s">
        <v>169</v>
      </c>
      <c r="F57" s="4" t="s">
        <v>172</v>
      </c>
      <c r="G57" s="4" t="s">
        <v>173</v>
      </c>
      <c r="H57" s="14">
        <v>25.671059665781858</v>
      </c>
      <c r="I57" s="14">
        <v>25.620162426416073</v>
      </c>
      <c r="J57" s="14">
        <v>24.834344811126186</v>
      </c>
      <c r="K57" s="14">
        <v>28.129923761608097</v>
      </c>
      <c r="L57" s="14">
        <v>0.56706019844655242</v>
      </c>
      <c r="M57" s="14">
        <v>25.000734834992784</v>
      </c>
      <c r="N57" s="14">
        <v>26.31373495947787</v>
      </c>
      <c r="O57" s="14">
        <v>3.2955789504819109</v>
      </c>
      <c r="P57" s="17">
        <v>7754</v>
      </c>
      <c r="Q57" s="14">
        <v>0.67105966578185772</v>
      </c>
      <c r="R57" s="4" t="s">
        <v>661</v>
      </c>
      <c r="S57" s="4" t="s">
        <v>662</v>
      </c>
    </row>
    <row r="58" spans="1:19">
      <c r="A58" s="4" t="s">
        <v>81</v>
      </c>
      <c r="B58" s="4" t="s">
        <v>176</v>
      </c>
      <c r="C58" s="4" t="s">
        <v>603</v>
      </c>
      <c r="D58" s="4" t="s">
        <v>663</v>
      </c>
      <c r="E58" s="4" t="s">
        <v>169</v>
      </c>
      <c r="F58" s="4" t="s">
        <v>177</v>
      </c>
      <c r="G58" s="4" t="s">
        <v>178</v>
      </c>
      <c r="H58" s="14">
        <v>26.771506846634633</v>
      </c>
      <c r="I58" s="14">
        <v>26.925466915520985</v>
      </c>
      <c r="J58" s="14">
        <v>25.411190312580572</v>
      </c>
      <c r="K58" s="14">
        <v>27.593450537272702</v>
      </c>
      <c r="L58" s="14">
        <v>0.66283716390337066</v>
      </c>
      <c r="M58" s="14">
        <v>25.741869907594889</v>
      </c>
      <c r="N58" s="14">
        <v>27.525132865456271</v>
      </c>
      <c r="O58" s="14">
        <v>2.1822602246921292</v>
      </c>
      <c r="P58" s="17">
        <v>10309</v>
      </c>
      <c r="Q58" s="14">
        <v>1.7715068466346331</v>
      </c>
      <c r="R58" s="4" t="s">
        <v>661</v>
      </c>
      <c r="S58" s="4" t="s">
        <v>662</v>
      </c>
    </row>
    <row r="59" spans="1:19">
      <c r="A59" s="4" t="s">
        <v>81</v>
      </c>
      <c r="B59" s="4" t="s">
        <v>183</v>
      </c>
      <c r="C59" s="4" t="s">
        <v>181</v>
      </c>
      <c r="D59" s="4" t="s">
        <v>660</v>
      </c>
      <c r="E59" s="4" t="s">
        <v>77</v>
      </c>
      <c r="F59" s="4" t="s">
        <v>184</v>
      </c>
      <c r="G59" s="4" t="s">
        <v>185</v>
      </c>
      <c r="H59" s="14">
        <v>25.613818976311848</v>
      </c>
      <c r="I59" s="14">
        <v>25.576661071774936</v>
      </c>
      <c r="J59" s="14">
        <v>24.764205931609126</v>
      </c>
      <c r="K59" s="14">
        <v>26.916875577784936</v>
      </c>
      <c r="L59" s="14">
        <v>0.51562509551472047</v>
      </c>
      <c r="M59" s="14">
        <v>24.96572751534444</v>
      </c>
      <c r="N59" s="14">
        <v>26.296451460550713</v>
      </c>
      <c r="O59" s="14">
        <v>2.1526696461758092</v>
      </c>
      <c r="P59" s="17">
        <v>10107</v>
      </c>
      <c r="Q59" s="14">
        <v>0.61381897631184756</v>
      </c>
      <c r="R59" s="4" t="s">
        <v>661</v>
      </c>
      <c r="S59" s="4" t="s">
        <v>662</v>
      </c>
    </row>
    <row r="60" spans="1:19">
      <c r="A60" s="4" t="s">
        <v>81</v>
      </c>
      <c r="B60" s="4" t="s">
        <v>188</v>
      </c>
      <c r="C60" s="4" t="s">
        <v>181</v>
      </c>
      <c r="D60" s="4" t="s">
        <v>663</v>
      </c>
      <c r="E60" s="4" t="s">
        <v>77</v>
      </c>
      <c r="F60" s="4" t="s">
        <v>189</v>
      </c>
      <c r="G60" s="4" t="s">
        <v>190</v>
      </c>
      <c r="H60" s="14">
        <v>25.867037632293229</v>
      </c>
      <c r="I60" s="14">
        <v>25.993528489846426</v>
      </c>
      <c r="J60" s="14">
        <v>24.94821942839252</v>
      </c>
      <c r="K60" s="14">
        <v>26.426008450386234</v>
      </c>
      <c r="L60" s="14">
        <v>0.42158514794885193</v>
      </c>
      <c r="M60" s="14">
        <v>25.227995395636924</v>
      </c>
      <c r="N60" s="14">
        <v>26.305093565548589</v>
      </c>
      <c r="O60" s="14">
        <v>1.4777890219937149</v>
      </c>
      <c r="P60" s="17">
        <v>6003</v>
      </c>
      <c r="Q60" s="14">
        <v>0.86703763229322917</v>
      </c>
      <c r="R60" s="4" t="s">
        <v>661</v>
      </c>
      <c r="S60" s="4" t="s">
        <v>662</v>
      </c>
    </row>
    <row r="61" spans="1:19">
      <c r="A61" s="4" t="s">
        <v>81</v>
      </c>
      <c r="B61" s="4" t="s">
        <v>195</v>
      </c>
      <c r="C61" s="4" t="s">
        <v>608</v>
      </c>
      <c r="D61" s="4" t="s">
        <v>660</v>
      </c>
      <c r="E61" s="4" t="s">
        <v>169</v>
      </c>
      <c r="F61" s="4" t="s">
        <v>196</v>
      </c>
      <c r="G61" s="4" t="s">
        <v>197</v>
      </c>
      <c r="H61" s="14">
        <v>26.069174707918492</v>
      </c>
      <c r="I61" s="14">
        <v>26.19269067539841</v>
      </c>
      <c r="J61" s="14">
        <v>25.009484821317244</v>
      </c>
      <c r="K61" s="14">
        <v>27.242856388340897</v>
      </c>
      <c r="L61" s="14">
        <v>0.43777953589222834</v>
      </c>
      <c r="M61" s="14">
        <v>25.358881779284218</v>
      </c>
      <c r="N61" s="14">
        <v>26.451900695198162</v>
      </c>
      <c r="O61" s="14">
        <v>2.2333715670236529</v>
      </c>
      <c r="P61" s="17">
        <v>11522</v>
      </c>
      <c r="Q61" s="14">
        <v>1.0691747079184921</v>
      </c>
      <c r="R61" s="4" t="s">
        <v>661</v>
      </c>
      <c r="S61" s="4" t="s">
        <v>662</v>
      </c>
    </row>
    <row r="62" spans="1:19">
      <c r="A62" s="4" t="s">
        <v>81</v>
      </c>
      <c r="B62" s="4" t="s">
        <v>200</v>
      </c>
      <c r="C62" s="4" t="s">
        <v>608</v>
      </c>
      <c r="D62" s="4" t="s">
        <v>663</v>
      </c>
      <c r="E62" s="4" t="s">
        <v>169</v>
      </c>
      <c r="F62" s="4" t="s">
        <v>201</v>
      </c>
      <c r="G62" s="4" t="s">
        <v>202</v>
      </c>
      <c r="H62" s="14">
        <v>25.71048394974644</v>
      </c>
      <c r="I62" s="14">
        <v>25.767931648942465</v>
      </c>
      <c r="J62" s="14">
        <v>24.729118686494189</v>
      </c>
      <c r="K62" s="14">
        <v>26.607120474336853</v>
      </c>
      <c r="L62" s="14">
        <v>0.49155128532382419</v>
      </c>
      <c r="M62" s="14">
        <v>25.009484821317244</v>
      </c>
      <c r="N62" s="14">
        <v>26.296451460550713</v>
      </c>
      <c r="O62" s="14">
        <v>1.8780017878426634</v>
      </c>
      <c r="P62" s="17">
        <v>6432</v>
      </c>
      <c r="Q62" s="14">
        <v>0.71048394974643969</v>
      </c>
      <c r="R62" s="4" t="s">
        <v>661</v>
      </c>
      <c r="S62" s="4" t="s">
        <v>662</v>
      </c>
    </row>
    <row r="63" spans="1:19">
      <c r="A63" s="4" t="s">
        <v>81</v>
      </c>
      <c r="B63" s="4" t="s">
        <v>207</v>
      </c>
      <c r="C63" s="4" t="s">
        <v>205</v>
      </c>
      <c r="D63" s="4" t="s">
        <v>660</v>
      </c>
      <c r="E63" s="4" t="s">
        <v>77</v>
      </c>
      <c r="F63" s="4" t="s">
        <v>208</v>
      </c>
      <c r="G63" s="4" t="s">
        <v>209</v>
      </c>
      <c r="H63" s="14">
        <v>25.886769921969318</v>
      </c>
      <c r="I63" s="14">
        <v>25.837397883334745</v>
      </c>
      <c r="J63" s="14">
        <v>25.061969266956282</v>
      </c>
      <c r="K63" s="14">
        <v>30.132694022180829</v>
      </c>
      <c r="L63" s="14">
        <v>0.62412984897850288</v>
      </c>
      <c r="M63" s="14">
        <v>25.201798357683913</v>
      </c>
      <c r="N63" s="14">
        <v>26.503666068122754</v>
      </c>
      <c r="O63" s="14">
        <v>5.0707247552245462</v>
      </c>
      <c r="P63" s="17">
        <v>10436</v>
      </c>
      <c r="Q63" s="14">
        <v>0.88676992196931792</v>
      </c>
      <c r="R63" s="4" t="s">
        <v>661</v>
      </c>
      <c r="S63" s="4" t="s">
        <v>662</v>
      </c>
    </row>
    <row r="64" spans="1:19">
      <c r="A64" s="4" t="s">
        <v>81</v>
      </c>
      <c r="B64" s="4" t="s">
        <v>212</v>
      </c>
      <c r="C64" s="4" t="s">
        <v>205</v>
      </c>
      <c r="D64" s="4" t="s">
        <v>663</v>
      </c>
      <c r="E64" s="4" t="s">
        <v>77</v>
      </c>
      <c r="F64" s="4" t="s">
        <v>213</v>
      </c>
      <c r="G64" s="4" t="s">
        <v>214</v>
      </c>
      <c r="H64" s="14">
        <v>25.773783262747813</v>
      </c>
      <c r="I64" s="14">
        <v>25.846077919360255</v>
      </c>
      <c r="J64" s="14">
        <v>25.000734834992784</v>
      </c>
      <c r="K64" s="14">
        <v>26.49504027491065</v>
      </c>
      <c r="L64" s="14">
        <v>0.40063877625817335</v>
      </c>
      <c r="M64" s="14">
        <v>25.175594721457458</v>
      </c>
      <c r="N64" s="14">
        <v>26.287808644314396</v>
      </c>
      <c r="O64" s="14">
        <v>1.4943054399178664</v>
      </c>
      <c r="P64" s="17">
        <v>4703</v>
      </c>
      <c r="Q64" s="14">
        <v>0.77378326274781273</v>
      </c>
      <c r="R64" s="4" t="s">
        <v>661</v>
      </c>
      <c r="S64" s="4" t="s">
        <v>662</v>
      </c>
    </row>
    <row r="65" spans="1:23">
      <c r="A65" s="4" t="s">
        <v>81</v>
      </c>
      <c r="B65" s="4" t="s">
        <v>219</v>
      </c>
      <c r="C65" s="4" t="s">
        <v>217</v>
      </c>
      <c r="D65" s="4" t="s">
        <v>660</v>
      </c>
      <c r="E65" s="4" t="s">
        <v>77</v>
      </c>
      <c r="F65" s="4" t="s">
        <v>220</v>
      </c>
      <c r="G65" s="4" t="s">
        <v>221</v>
      </c>
      <c r="H65" s="14">
        <v>24.082171387903266</v>
      </c>
      <c r="I65" s="14">
        <v>24.060189373878131</v>
      </c>
      <c r="J65" s="14">
        <v>23.901121461975492</v>
      </c>
      <c r="K65" s="14">
        <v>25.73318121624726</v>
      </c>
      <c r="L65" s="14">
        <v>9.6644328331895846E-2</v>
      </c>
      <c r="M65" s="14">
        <v>23.989522864611388</v>
      </c>
      <c r="N65" s="14">
        <v>24.201377166180464</v>
      </c>
      <c r="O65" s="14">
        <v>1.8320597542717678</v>
      </c>
      <c r="P65" s="17">
        <v>234520</v>
      </c>
      <c r="Q65" s="14">
        <v>-0.91782861209673428</v>
      </c>
      <c r="R65" s="4" t="s">
        <v>661</v>
      </c>
      <c r="S65" s="4" t="s">
        <v>662</v>
      </c>
    </row>
    <row r="66" spans="1:23">
      <c r="A66" s="4" t="s">
        <v>81</v>
      </c>
      <c r="B66" s="4" t="s">
        <v>224</v>
      </c>
      <c r="C66" s="4" t="s">
        <v>217</v>
      </c>
      <c r="D66" s="4" t="s">
        <v>663</v>
      </c>
      <c r="E66" s="4" t="s">
        <v>77</v>
      </c>
      <c r="F66" s="4" t="s">
        <v>225</v>
      </c>
      <c r="G66" s="4" t="s">
        <v>226</v>
      </c>
      <c r="H66" s="14">
        <v>25.271365666971679</v>
      </c>
      <c r="I66" s="14">
        <v>25.201798357683913</v>
      </c>
      <c r="J66" s="14">
        <v>24.491968310726804</v>
      </c>
      <c r="K66" s="14">
        <v>28.342063783342383</v>
      </c>
      <c r="L66" s="14">
        <v>0.45825214882569854</v>
      </c>
      <c r="M66" s="14">
        <v>24.808048291399814</v>
      </c>
      <c r="N66" s="14">
        <v>25.599283951500404</v>
      </c>
      <c r="O66" s="14">
        <v>3.8500954726155783</v>
      </c>
      <c r="P66" s="17">
        <v>4875</v>
      </c>
      <c r="Q66" s="14">
        <v>0.27136566697167908</v>
      </c>
      <c r="R66" s="4" t="s">
        <v>661</v>
      </c>
      <c r="S66" s="4" t="s">
        <v>662</v>
      </c>
    </row>
    <row r="67" spans="1:23">
      <c r="A67" s="4" t="s">
        <v>81</v>
      </c>
      <c r="B67" s="4" t="s">
        <v>231</v>
      </c>
      <c r="C67" s="4" t="s">
        <v>615</v>
      </c>
      <c r="D67" s="4" t="s">
        <v>660</v>
      </c>
      <c r="E67" s="4" t="s">
        <v>169</v>
      </c>
      <c r="F67" s="4" t="s">
        <v>232</v>
      </c>
      <c r="G67" s="4" t="s">
        <v>233</v>
      </c>
      <c r="H67" s="14">
        <v>26.084708024553429</v>
      </c>
      <c r="I67" s="14">
        <v>25.993528489846426</v>
      </c>
      <c r="J67" s="14">
        <v>25.227995395636924</v>
      </c>
      <c r="K67" s="14">
        <v>28.095942193562394</v>
      </c>
      <c r="L67" s="14">
        <v>0.55558660135789728</v>
      </c>
      <c r="M67" s="14">
        <v>25.428620657363012</v>
      </c>
      <c r="N67" s="14">
        <v>26.873908398020205</v>
      </c>
      <c r="O67" s="14">
        <v>2.8679467979254696</v>
      </c>
      <c r="P67" s="17">
        <v>5222</v>
      </c>
      <c r="Q67" s="14">
        <v>1.0847080245534286</v>
      </c>
      <c r="R67" s="4" t="s">
        <v>661</v>
      </c>
      <c r="S67" s="4" t="s">
        <v>662</v>
      </c>
    </row>
    <row r="68" spans="1:23">
      <c r="A68" s="4" t="s">
        <v>81</v>
      </c>
      <c r="B68" s="4" t="s">
        <v>236</v>
      </c>
      <c r="C68" s="4" t="s">
        <v>615</v>
      </c>
      <c r="D68" s="4" t="s">
        <v>663</v>
      </c>
      <c r="E68" s="4" t="s">
        <v>169</v>
      </c>
      <c r="F68" s="4" t="s">
        <v>237</v>
      </c>
      <c r="G68" s="4" t="s">
        <v>238</v>
      </c>
      <c r="H68" s="14">
        <v>26.066198888022619</v>
      </c>
      <c r="I68" s="14">
        <v>26.132116136509637</v>
      </c>
      <c r="J68" s="14">
        <v>25.271642475777071</v>
      </c>
      <c r="K68" s="14">
        <v>26.701864468765962</v>
      </c>
      <c r="L68" s="14">
        <v>0.37191069392305848</v>
      </c>
      <c r="M68" s="14">
        <v>25.454760710966582</v>
      </c>
      <c r="N68" s="14">
        <v>26.503666068122754</v>
      </c>
      <c r="O68" s="14">
        <v>1.4302219929888906</v>
      </c>
      <c r="P68" s="17">
        <v>5473</v>
      </c>
      <c r="Q68" s="14">
        <v>1.066198888022619</v>
      </c>
      <c r="R68" s="4" t="s">
        <v>661</v>
      </c>
      <c r="S68" s="4" t="s">
        <v>662</v>
      </c>
    </row>
    <row r="69" spans="1:23">
      <c r="A69" s="4" t="s">
        <v>81</v>
      </c>
      <c r="B69" s="4" t="s">
        <v>244</v>
      </c>
      <c r="C69" s="4" t="s">
        <v>664</v>
      </c>
      <c r="D69" s="4" t="s">
        <v>660</v>
      </c>
      <c r="E69" s="4" t="s">
        <v>242</v>
      </c>
      <c r="F69" s="4" t="s">
        <v>245</v>
      </c>
      <c r="G69" s="4" t="s">
        <v>246</v>
      </c>
      <c r="H69" s="14">
        <v>26.136908324035144</v>
      </c>
      <c r="I69" s="14">
        <v>26.158080936605018</v>
      </c>
      <c r="J69" s="14">
        <v>25.297821941810696</v>
      </c>
      <c r="K69" s="14">
        <v>27.465318805652828</v>
      </c>
      <c r="L69" s="14">
        <v>0.44685456679459412</v>
      </c>
      <c r="M69" s="14">
        <v>25.507021166757511</v>
      </c>
      <c r="N69" s="14">
        <v>26.701864468765962</v>
      </c>
      <c r="O69" s="14">
        <v>2.1674968638421319</v>
      </c>
      <c r="P69" s="17">
        <v>5262</v>
      </c>
      <c r="Q69" s="14">
        <v>1.1369083240351436</v>
      </c>
      <c r="R69" s="4" t="s">
        <v>661</v>
      </c>
      <c r="S69" s="4" t="s">
        <v>662</v>
      </c>
    </row>
    <row r="70" spans="1:23">
      <c r="A70" s="4" t="s">
        <v>81</v>
      </c>
      <c r="B70" s="4" t="s">
        <v>249</v>
      </c>
      <c r="C70" s="4" t="s">
        <v>664</v>
      </c>
      <c r="D70" s="4" t="s">
        <v>663</v>
      </c>
      <c r="E70" s="4" t="s">
        <v>242</v>
      </c>
      <c r="F70" s="4" t="s">
        <v>250</v>
      </c>
      <c r="G70" s="4" t="s">
        <v>251</v>
      </c>
      <c r="H70" s="14">
        <v>26.308308604431787</v>
      </c>
      <c r="I70" s="14">
        <v>26.31373495947787</v>
      </c>
      <c r="J70" s="14">
        <v>25.463472605920515</v>
      </c>
      <c r="K70" s="14">
        <v>29.597783394421526</v>
      </c>
      <c r="L70" s="14">
        <v>0.58672560261157591</v>
      </c>
      <c r="M70" s="14">
        <v>25.628860522626894</v>
      </c>
      <c r="N70" s="14">
        <v>26.710473335830841</v>
      </c>
      <c r="O70" s="14">
        <v>4.1343107885010113</v>
      </c>
      <c r="P70" s="17">
        <v>6948</v>
      </c>
      <c r="Q70" s="14">
        <v>1.3083086044317866</v>
      </c>
      <c r="R70" s="4" t="s">
        <v>661</v>
      </c>
      <c r="S70" s="4" t="s">
        <v>662</v>
      </c>
    </row>
    <row r="71" spans="1:23">
      <c r="A71" s="4" t="s">
        <v>81</v>
      </c>
      <c r="B71" s="4" t="s">
        <v>256</v>
      </c>
      <c r="C71" s="4" t="s">
        <v>254</v>
      </c>
      <c r="D71" s="4" t="s">
        <v>660</v>
      </c>
      <c r="E71" s="4" t="s">
        <v>77</v>
      </c>
      <c r="F71" s="4" t="s">
        <v>257</v>
      </c>
      <c r="G71" s="4" t="s">
        <v>258</v>
      </c>
      <c r="H71" s="14">
        <v>26.006031550721946</v>
      </c>
      <c r="I71" s="14">
        <v>26.010861972296766</v>
      </c>
      <c r="J71" s="14">
        <v>25.254185840121579</v>
      </c>
      <c r="K71" s="14">
        <v>28.044949529185601</v>
      </c>
      <c r="L71" s="14">
        <v>0.42256503921381716</v>
      </c>
      <c r="M71" s="14">
        <v>25.419905849327336</v>
      </c>
      <c r="N71" s="14">
        <v>26.43463990713218</v>
      </c>
      <c r="O71" s="14">
        <v>2.7907636890640219</v>
      </c>
      <c r="P71" s="17">
        <v>7873</v>
      </c>
      <c r="Q71" s="14">
        <v>1.0060315507219464</v>
      </c>
      <c r="R71" s="4" t="s">
        <v>661</v>
      </c>
      <c r="S71" s="4" t="s">
        <v>662</v>
      </c>
    </row>
    <row r="72" spans="1:23">
      <c r="A72" s="4" t="s">
        <v>81</v>
      </c>
      <c r="B72" s="4" t="s">
        <v>261</v>
      </c>
      <c r="C72" s="4" t="s">
        <v>254</v>
      </c>
      <c r="D72" s="4" t="s">
        <v>663</v>
      </c>
      <c r="E72" s="4" t="s">
        <v>77</v>
      </c>
      <c r="F72" s="4" t="s">
        <v>262</v>
      </c>
      <c r="G72" s="4" t="s">
        <v>263</v>
      </c>
      <c r="H72" s="14">
        <v>25.749493013431067</v>
      </c>
      <c r="I72" s="14">
        <v>25.750557876710729</v>
      </c>
      <c r="J72" s="14">
        <v>24.95697384094575</v>
      </c>
      <c r="K72" s="14">
        <v>26.43463990713218</v>
      </c>
      <c r="L72" s="14">
        <v>0.41098187581211015</v>
      </c>
      <c r="M72" s="14">
        <v>25.193064545654067</v>
      </c>
      <c r="N72" s="14">
        <v>26.296451460550713</v>
      </c>
      <c r="O72" s="14">
        <v>1.4776660661864298</v>
      </c>
      <c r="P72" s="17">
        <v>4430</v>
      </c>
      <c r="Q72" s="14">
        <v>0.74949301343106711</v>
      </c>
      <c r="R72" s="4" t="s">
        <v>661</v>
      </c>
      <c r="S72" s="4" t="s">
        <v>662</v>
      </c>
    </row>
    <row r="73" spans="1:23">
      <c r="A73" s="4" t="s">
        <v>81</v>
      </c>
      <c r="B73" s="4" t="s">
        <v>268</v>
      </c>
      <c r="C73" s="4" t="s">
        <v>623</v>
      </c>
      <c r="D73" s="4" t="s">
        <v>660</v>
      </c>
      <c r="E73" s="4" t="s">
        <v>169</v>
      </c>
      <c r="F73" s="4" t="s">
        <v>269</v>
      </c>
      <c r="G73" s="4" t="s">
        <v>270</v>
      </c>
      <c r="H73" s="14">
        <v>25.357424449202732</v>
      </c>
      <c r="I73" s="14">
        <v>25.376320874953706</v>
      </c>
      <c r="J73" s="14">
        <v>24.764205931609126</v>
      </c>
      <c r="K73" s="14">
        <v>27.019925531562592</v>
      </c>
      <c r="L73" s="14">
        <v>0.3458533833800852</v>
      </c>
      <c r="M73" s="14">
        <v>24.895677441741441</v>
      </c>
      <c r="N73" s="14">
        <v>25.785302534332402</v>
      </c>
      <c r="O73" s="14">
        <v>2.2557195999534656</v>
      </c>
      <c r="P73" s="17">
        <v>10466</v>
      </c>
      <c r="Q73" s="14">
        <v>0.35742444920273186</v>
      </c>
      <c r="R73" s="4" t="s">
        <v>661</v>
      </c>
      <c r="S73" s="4" t="s">
        <v>662</v>
      </c>
    </row>
    <row r="74" spans="1:23">
      <c r="A74" s="5" t="s">
        <v>81</v>
      </c>
      <c r="B74" s="5" t="s">
        <v>273</v>
      </c>
      <c r="C74" s="5" t="s">
        <v>623</v>
      </c>
      <c r="D74" s="5" t="s">
        <v>663</v>
      </c>
      <c r="E74" s="5" t="s">
        <v>169</v>
      </c>
      <c r="F74" s="5" t="s">
        <v>274</v>
      </c>
      <c r="G74" s="5" t="s">
        <v>275</v>
      </c>
      <c r="H74" s="15">
        <v>25.343925762752562</v>
      </c>
      <c r="I74" s="15">
        <v>25.367601692004257</v>
      </c>
      <c r="J74" s="15">
        <v>24.86939646873094</v>
      </c>
      <c r="K74" s="15">
        <v>26.00219558959418</v>
      </c>
      <c r="L74" s="15">
        <v>0.26305202132316569</v>
      </c>
      <c r="M74" s="15">
        <v>24.95697384094575</v>
      </c>
      <c r="N74" s="15">
        <v>25.672340139707217</v>
      </c>
      <c r="O74" s="15">
        <v>1.1327991208632398</v>
      </c>
      <c r="P74" s="18">
        <v>6137</v>
      </c>
      <c r="Q74" s="15">
        <v>0.34392576275256204</v>
      </c>
      <c r="R74" s="5" t="s">
        <v>661</v>
      </c>
      <c r="S74" s="5" t="s">
        <v>662</v>
      </c>
    </row>
    <row r="78" spans="1:23" ht="23" customHeight="1">
      <c r="A78" s="46" t="s">
        <v>665</v>
      </c>
      <c r="B78" s="46" t="s">
        <v>665</v>
      </c>
      <c r="C78" s="46" t="s">
        <v>665</v>
      </c>
      <c r="D78" s="46" t="s">
        <v>665</v>
      </c>
      <c r="E78" s="46" t="s">
        <v>665</v>
      </c>
      <c r="F78" s="46" t="s">
        <v>665</v>
      </c>
      <c r="G78" s="46" t="s">
        <v>665</v>
      </c>
      <c r="H78" s="46" t="s">
        <v>665</v>
      </c>
      <c r="I78" s="46" t="s">
        <v>665</v>
      </c>
      <c r="J78" s="46" t="s">
        <v>665</v>
      </c>
      <c r="K78" s="46" t="s">
        <v>665</v>
      </c>
      <c r="L78" s="46" t="s">
        <v>665</v>
      </c>
      <c r="M78" s="46" t="s">
        <v>665</v>
      </c>
      <c r="N78" s="46" t="s">
        <v>665</v>
      </c>
      <c r="O78" s="46" t="s">
        <v>665</v>
      </c>
      <c r="P78" s="46" t="s">
        <v>665</v>
      </c>
      <c r="Q78" s="46" t="s">
        <v>665</v>
      </c>
      <c r="R78" s="46" t="s">
        <v>665</v>
      </c>
      <c r="S78" s="46" t="s">
        <v>665</v>
      </c>
    </row>
    <row r="79" spans="1:23" ht="35" customHeight="1">
      <c r="A79" s="1" t="s">
        <v>36</v>
      </c>
      <c r="B79" s="6" t="s">
        <v>569</v>
      </c>
      <c r="C79" s="6" t="s">
        <v>660</v>
      </c>
      <c r="D79" s="6" t="s">
        <v>663</v>
      </c>
      <c r="E79" s="2" t="s">
        <v>666</v>
      </c>
      <c r="U79" t="s">
        <v>510</v>
      </c>
      <c r="V79" t="s">
        <v>660</v>
      </c>
      <c r="W79" t="s">
        <v>663</v>
      </c>
    </row>
    <row r="80" spans="1:23">
      <c r="A80" s="3" t="s">
        <v>76</v>
      </c>
      <c r="B80" s="3" t="s">
        <v>77</v>
      </c>
      <c r="C80" s="13">
        <v>25.538009799131377</v>
      </c>
      <c r="D80" s="13">
        <v>23.446142850544295</v>
      </c>
      <c r="E80" s="13">
        <v>2.0918669485870822</v>
      </c>
      <c r="U80" t="str">
        <f t="shared" ref="U80:U95" si="0">A80</f>
        <v>NC264G</v>
      </c>
      <c r="V80">
        <f t="shared" ref="V80:V95" si="1">C80</f>
        <v>25.538009799131377</v>
      </c>
      <c r="W80">
        <f t="shared" ref="W80:W95" si="2">D80</f>
        <v>23.446142850544295</v>
      </c>
    </row>
    <row r="81" spans="1:23">
      <c r="A81" s="4" t="s">
        <v>608</v>
      </c>
      <c r="B81" s="4" t="s">
        <v>169</v>
      </c>
      <c r="C81" s="14">
        <v>26.069174707918492</v>
      </c>
      <c r="D81" s="14">
        <v>25.71048394974644</v>
      </c>
      <c r="E81" s="14">
        <v>0.35869075817205243</v>
      </c>
      <c r="U81" t="str">
        <f t="shared" si="0"/>
        <v>MountainGem</v>
      </c>
      <c r="V81">
        <f t="shared" si="1"/>
        <v>26.069174707918492</v>
      </c>
      <c r="W81">
        <f t="shared" si="2"/>
        <v>25.71048394974644</v>
      </c>
    </row>
    <row r="82" spans="1:23">
      <c r="A82" s="4" t="s">
        <v>254</v>
      </c>
      <c r="B82" s="4" t="s">
        <v>77</v>
      </c>
      <c r="C82" s="14">
        <v>26.006031550721943</v>
      </c>
      <c r="D82" s="14">
        <v>25.749493013431067</v>
      </c>
      <c r="E82" s="14">
        <v>0.25653853729087572</v>
      </c>
      <c r="U82" t="str">
        <f t="shared" si="0"/>
        <v>NC261G</v>
      </c>
      <c r="V82">
        <f t="shared" si="1"/>
        <v>26.006031550721943</v>
      </c>
      <c r="W82">
        <f t="shared" si="2"/>
        <v>25.749493013431067</v>
      </c>
    </row>
    <row r="83" spans="1:23">
      <c r="A83" s="4" t="s">
        <v>205</v>
      </c>
      <c r="B83" s="4" t="s">
        <v>77</v>
      </c>
      <c r="C83" s="14">
        <v>25.886769921969321</v>
      </c>
      <c r="D83" s="14">
        <v>25.773783262747813</v>
      </c>
      <c r="E83" s="14">
        <v>0.11298665922150875</v>
      </c>
      <c r="U83" t="str">
        <f t="shared" si="0"/>
        <v>26-037</v>
      </c>
      <c r="V83">
        <f t="shared" si="1"/>
        <v>25.886769921969321</v>
      </c>
      <c r="W83">
        <f t="shared" si="2"/>
        <v>25.773783262747813</v>
      </c>
    </row>
    <row r="84" spans="1:23">
      <c r="A84" s="4" t="s">
        <v>615</v>
      </c>
      <c r="B84" s="4" t="s">
        <v>169</v>
      </c>
      <c r="C84" s="14">
        <v>26.084708024553429</v>
      </c>
      <c r="D84" s="14">
        <v>26.066198888022619</v>
      </c>
      <c r="E84" s="14">
        <v>1.8509136530809656E-2</v>
      </c>
      <c r="U84" t="str">
        <f t="shared" si="0"/>
        <v>MountainGirl</v>
      </c>
      <c r="V84">
        <f t="shared" si="1"/>
        <v>26.084708024553429</v>
      </c>
      <c r="W84">
        <f t="shared" si="2"/>
        <v>26.066198888022619</v>
      </c>
    </row>
    <row r="85" spans="1:23">
      <c r="A85" s="4" t="s">
        <v>623</v>
      </c>
      <c r="B85" s="4" t="s">
        <v>169</v>
      </c>
      <c r="C85" s="14">
        <v>25.357424449202732</v>
      </c>
      <c r="D85" s="14">
        <v>25.343925762752558</v>
      </c>
      <c r="E85" s="14">
        <v>1.3498686450173381E-2</v>
      </c>
      <c r="U85" t="str">
        <f t="shared" si="0"/>
        <v>MountainHeritage</v>
      </c>
      <c r="V85">
        <f t="shared" si="1"/>
        <v>25.357424449202732</v>
      </c>
      <c r="W85">
        <f t="shared" si="2"/>
        <v>25.343925762752558</v>
      </c>
    </row>
    <row r="86" spans="1:23">
      <c r="A86" s="4" t="s">
        <v>156</v>
      </c>
      <c r="B86" s="4" t="s">
        <v>77</v>
      </c>
      <c r="C86" s="14">
        <v>26.247659986897322</v>
      </c>
      <c r="D86" s="14">
        <v>26.235427036682271</v>
      </c>
      <c r="E86" s="14">
        <v>1.2232950215050664E-2</v>
      </c>
      <c r="U86" t="str">
        <f t="shared" si="0"/>
        <v>25-013</v>
      </c>
      <c r="V86">
        <f t="shared" si="1"/>
        <v>26.247659986897322</v>
      </c>
      <c r="W86">
        <f t="shared" si="2"/>
        <v>26.235427036682271</v>
      </c>
    </row>
    <row r="87" spans="1:23">
      <c r="A87" s="4" t="s">
        <v>108</v>
      </c>
      <c r="B87" s="4" t="s">
        <v>77</v>
      </c>
      <c r="C87" s="14">
        <v>26.180443419545441</v>
      </c>
      <c r="D87" s="14">
        <v>26.232168738435153</v>
      </c>
      <c r="E87" s="14">
        <v>-5.1725318889712213E-2</v>
      </c>
      <c r="U87" t="str">
        <f t="shared" si="0"/>
        <v>25317G</v>
      </c>
      <c r="V87">
        <f t="shared" si="1"/>
        <v>26.180443419545441</v>
      </c>
      <c r="W87">
        <f t="shared" si="2"/>
        <v>26.232168738435153</v>
      </c>
    </row>
    <row r="88" spans="1:23">
      <c r="A88" s="4" t="s">
        <v>144</v>
      </c>
      <c r="B88" s="4" t="s">
        <v>77</v>
      </c>
      <c r="C88" s="14">
        <v>26.297341671872658</v>
      </c>
      <c r="D88" s="14">
        <v>26.382624366778391</v>
      </c>
      <c r="E88" s="14">
        <v>-8.528269490573237E-2</v>
      </c>
      <c r="U88" t="str">
        <f t="shared" si="0"/>
        <v>25-014</v>
      </c>
      <c r="V88">
        <f t="shared" si="1"/>
        <v>26.297341671872658</v>
      </c>
      <c r="W88">
        <f t="shared" si="2"/>
        <v>26.382624366778391</v>
      </c>
    </row>
    <row r="89" spans="1:23">
      <c r="A89" s="4" t="s">
        <v>664</v>
      </c>
      <c r="B89" s="4" t="s">
        <v>242</v>
      </c>
      <c r="C89" s="14">
        <v>26.136908324035144</v>
      </c>
      <c r="D89" s="14">
        <v>26.308308604431787</v>
      </c>
      <c r="E89" s="14">
        <v>-0.17140028039664301</v>
      </c>
      <c r="U89" t="str">
        <f t="shared" si="0"/>
        <v>AlisaCraig</v>
      </c>
      <c r="V89">
        <f t="shared" si="1"/>
        <v>26.136908324035144</v>
      </c>
      <c r="W89">
        <f t="shared" si="2"/>
        <v>26.308308604431787</v>
      </c>
    </row>
    <row r="90" spans="1:23">
      <c r="A90" s="4" t="s">
        <v>181</v>
      </c>
      <c r="B90" s="4" t="s">
        <v>77</v>
      </c>
      <c r="C90" s="14">
        <v>25.613818976311848</v>
      </c>
      <c r="D90" s="14">
        <v>25.867037632293229</v>
      </c>
      <c r="E90" s="14">
        <v>-0.2532186559813816</v>
      </c>
      <c r="U90" t="str">
        <f t="shared" si="0"/>
        <v>25-12</v>
      </c>
      <c r="V90">
        <f t="shared" si="1"/>
        <v>25.613818976311848</v>
      </c>
      <c r="W90">
        <f t="shared" si="2"/>
        <v>25.867037632293229</v>
      </c>
    </row>
    <row r="91" spans="1:23">
      <c r="A91" s="4" t="s">
        <v>120</v>
      </c>
      <c r="B91" s="4" t="s">
        <v>77</v>
      </c>
      <c r="C91" s="14">
        <v>25.035619074755193</v>
      </c>
      <c r="D91" s="14">
        <v>25.370568224584765</v>
      </c>
      <c r="E91" s="14">
        <v>-0.33494914982957269</v>
      </c>
      <c r="U91" t="str">
        <f t="shared" si="0"/>
        <v>26-016</v>
      </c>
      <c r="V91">
        <f t="shared" si="1"/>
        <v>25.035619074755193</v>
      </c>
      <c r="W91">
        <f t="shared" si="2"/>
        <v>25.370568224584765</v>
      </c>
    </row>
    <row r="92" spans="1:23">
      <c r="A92" s="4" t="s">
        <v>132</v>
      </c>
      <c r="B92" s="4" t="s">
        <v>77</v>
      </c>
      <c r="C92" s="14">
        <v>25.710670969367825</v>
      </c>
      <c r="D92" s="14">
        <v>26.582684310236822</v>
      </c>
      <c r="E92" s="14">
        <v>-0.87201334086899607</v>
      </c>
      <c r="U92" t="str">
        <f t="shared" si="0"/>
        <v>26-018</v>
      </c>
      <c r="V92">
        <f t="shared" si="1"/>
        <v>25.710670969367825</v>
      </c>
      <c r="W92">
        <f t="shared" si="2"/>
        <v>26.582684310236822</v>
      </c>
    </row>
    <row r="93" spans="1:23">
      <c r="A93" s="4" t="s">
        <v>603</v>
      </c>
      <c r="B93" s="4" t="s">
        <v>169</v>
      </c>
      <c r="C93" s="14">
        <v>25.671059665781858</v>
      </c>
      <c r="D93" s="14">
        <v>26.771506846634633</v>
      </c>
      <c r="E93" s="14">
        <v>-1.1004471808527754</v>
      </c>
      <c r="U93" t="str">
        <f t="shared" si="0"/>
        <v>CherokeePurple</v>
      </c>
      <c r="V93">
        <f t="shared" si="1"/>
        <v>25.671059665781858</v>
      </c>
      <c r="W93">
        <f t="shared" si="2"/>
        <v>26.771506846634633</v>
      </c>
    </row>
    <row r="94" spans="1:23">
      <c r="A94" s="4" t="s">
        <v>217</v>
      </c>
      <c r="B94" s="4" t="s">
        <v>77</v>
      </c>
      <c r="C94" s="14">
        <v>24.082171387903266</v>
      </c>
      <c r="D94" s="14">
        <v>25.271365666971679</v>
      </c>
      <c r="E94" s="14">
        <v>-1.1891942790684134</v>
      </c>
      <c r="U94" t="str">
        <f t="shared" si="0"/>
        <v>26-033</v>
      </c>
      <c r="V94">
        <f t="shared" si="1"/>
        <v>24.082171387903266</v>
      </c>
      <c r="W94">
        <f t="shared" si="2"/>
        <v>25.271365666971679</v>
      </c>
    </row>
    <row r="95" spans="1:23">
      <c r="A95" s="5" t="s">
        <v>96</v>
      </c>
      <c r="B95" s="5" t="s">
        <v>77</v>
      </c>
      <c r="C95" s="15">
        <v>25.05125721033199</v>
      </c>
      <c r="D95" s="15">
        <v>26.327707804545422</v>
      </c>
      <c r="E95" s="15">
        <v>-1.2764505942134328</v>
      </c>
      <c r="U95" t="str">
        <f t="shared" si="0"/>
        <v>25203G</v>
      </c>
      <c r="V95">
        <f t="shared" si="1"/>
        <v>25.05125721033199</v>
      </c>
      <c r="W95">
        <f t="shared" si="2"/>
        <v>26.327707804545422</v>
      </c>
    </row>
  </sheetData>
  <mergeCells count="4">
    <mergeCell ref="A1:S2"/>
    <mergeCell ref="J4:S7"/>
    <mergeCell ref="A9:S9"/>
    <mergeCell ref="A78:S78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Integrated Plants</vt:lpstr>
      <vt:lpstr>Stomatal Measurements</vt:lpstr>
      <vt:lpstr>Variety Comparison</vt:lpstr>
      <vt:lpstr>Treatment Comparison</vt:lpstr>
      <vt:lpstr>Thermal Findings &amp; QC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Leul Enquanhone</cp:lastModifiedBy>
  <dcterms:modified xsi:type="dcterms:W3CDTF">2026-07-29T23:19:45Z</dcterms:modified>
</cp:coreProperties>
</file>